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Escritorio\Users\U\Estudio\USAC\Semestres\2024\VacasDic\Io2\"/>
    </mc:Choice>
  </mc:AlternateContent>
  <xr:revisionPtr revIDLastSave="0" documentId="8_{44198D18-4863-483F-A6F2-A524E70629E9}" xr6:coauthVersionLast="47" xr6:coauthVersionMax="47" xr10:uidLastSave="{00000000-0000-0000-0000-000000000000}"/>
  <bookViews>
    <workbookView xWindow="-120" yWindow="-120" windowWidth="29040" windowHeight="16440" xr2:uid="{348D10BE-649D-49D8-BC1C-400DE2DB63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L13" i="1"/>
  <c r="L12" i="1"/>
  <c r="L11" i="1"/>
  <c r="L10" i="1"/>
  <c r="L9" i="1"/>
  <c r="L8" i="1"/>
  <c r="L24" i="1"/>
  <c r="O24" i="1" s="1"/>
  <c r="D29" i="1"/>
  <c r="G29" i="1" s="1"/>
  <c r="D24" i="1"/>
  <c r="L19" i="1"/>
  <c r="C19" i="1"/>
  <c r="K29" i="1" s="1"/>
  <c r="D34" i="1" l="1"/>
  <c r="F34" i="1" s="1"/>
  <c r="M29" i="1"/>
  <c r="E19" i="1"/>
</calcChain>
</file>

<file path=xl/sharedStrings.xml><?xml version="1.0" encoding="utf-8"?>
<sst xmlns="http://schemas.openxmlformats.org/spreadsheetml/2006/main" count="49" uniqueCount="39">
  <si>
    <t>Datos:</t>
  </si>
  <si>
    <t>λ</t>
  </si>
  <si>
    <t>μ</t>
  </si>
  <si>
    <t>clientes por hora</t>
  </si>
  <si>
    <t>minutos por clientes -&gt;</t>
  </si>
  <si>
    <t>a)  ¿Qué porcentaje de tiempo permanece ocioso el sastre?</t>
  </si>
  <si>
    <t>ρ = λ/μ =</t>
  </si>
  <si>
    <t>o</t>
  </si>
  <si>
    <t>b) ¿Número promedio en la línea de espera?</t>
  </si>
  <si>
    <t>c) ¿Número promedio en el sistema?</t>
  </si>
  <si>
    <t>d) ¿Tiempo promedio que el cliente pasa en la cola?</t>
  </si>
  <si>
    <t>e) ¿Tiempo promedio que se pasa en el sistema?</t>
  </si>
  <si>
    <t>f) ¿Probabilidad de que al llegar se tenga que esperar?</t>
  </si>
  <si>
    <t>g) ¿Probabilidad de que haya más de 3 clientes esperando ser atendidos?</t>
  </si>
  <si>
    <t>Lq =(λ^2)/(μ(μ-λ)) =</t>
  </si>
  <si>
    <t>Ls = λ/(μ*(μ-λ)) =</t>
  </si>
  <si>
    <t>Wq = λ/(μ*(μ-λ)) =</t>
  </si>
  <si>
    <t>horas</t>
  </si>
  <si>
    <t>Ws = 1/(μ-λ) =</t>
  </si>
  <si>
    <t>Po = 1 - ρ =</t>
  </si>
  <si>
    <t>%</t>
  </si>
  <si>
    <t>clientes</t>
  </si>
  <si>
    <t>minutos</t>
  </si>
  <si>
    <t xml:space="preserve">Pn = Po* ρ^n = </t>
  </si>
  <si>
    <t>El porcentaje de tiempo en el que el sastre permanece ocioso es de 80% del tiempo</t>
  </si>
  <si>
    <t>El numero promedio en la línea de espera es de 3.2 clientes</t>
  </si>
  <si>
    <t>El numero promedio en el sistema es de 4 clientes</t>
  </si>
  <si>
    <t>El tiempo promedio que el cliente pasa en la cola es de 0.133 horas u 8 minutos</t>
  </si>
  <si>
    <t>El tiempo promedio que el cliente pasa en el sistema es de 0.167 horas o 10 minutos</t>
  </si>
  <si>
    <t>La probabilidad de que al llegar se tenga que esperar es del 20%</t>
  </si>
  <si>
    <t>la probabilidad de que haya más de 3 clientes esperando ser atendidos es de 8.192 %</t>
  </si>
  <si>
    <t>a</t>
  </si>
  <si>
    <t>b</t>
  </si>
  <si>
    <t>c</t>
  </si>
  <si>
    <t>d</t>
  </si>
  <si>
    <t>e</t>
  </si>
  <si>
    <t>f</t>
  </si>
  <si>
    <t>g</t>
  </si>
  <si>
    <t>RESPUESTAS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</si>
</sst>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1A1E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71438</xdr:colOff>
      <xdr:row>0</xdr:row>
      <xdr:rowOff>0</xdr:rowOff>
    </xdr:from>
    <xdr:to>
      <xdr:col>9</xdr:col>
      <xdr:colOff>719680</xdr:colOff>
      <xdr:row>15</xdr:row>
      <xdr:rowOff>161924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67D7CC-5281-2BAB-63FF-6E74A3A35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438" y="0"/>
          <a:ext cx="6744242" cy="3019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6B76-77F9-4FD7-B63C-9F571FB67325}">
  <dimension ref="A1:R37"/>
  <sheetViews>
    <sheetView tabSelected="1" zoomScaleNormal="100" workbookViewId="0">
      <selection activeCell="R21" sqref="R21"/>
    </sheetView>
  </sheetViews>
  <sheetFormatPr baseColWidth="10" defaultRowHeight="15" x14ac:dyDescent="0.25"/>
  <sheetData>
    <row r="1" spans="1:18" x14ac:dyDescent="0.25">
      <c r="A1">
        <v>202100081</v>
      </c>
    </row>
    <row r="2" spans="1:18" x14ac:dyDescent="0.25">
      <c r="L2" s="1" t="s">
        <v>0</v>
      </c>
    </row>
    <row r="3" spans="1:18" x14ac:dyDescent="0.25">
      <c r="L3" t="s">
        <v>1</v>
      </c>
      <c r="M3">
        <v>24</v>
      </c>
      <c r="N3" t="s">
        <v>3</v>
      </c>
    </row>
    <row r="4" spans="1:18" x14ac:dyDescent="0.25">
      <c r="L4" t="s">
        <v>2</v>
      </c>
      <c r="M4">
        <v>2</v>
      </c>
      <c r="N4" t="s">
        <v>4</v>
      </c>
      <c r="P4">
        <v>30</v>
      </c>
      <c r="Q4" t="s">
        <v>3</v>
      </c>
    </row>
    <row r="7" spans="1:18" x14ac:dyDescent="0.25">
      <c r="K7" s="10" t="s">
        <v>38</v>
      </c>
      <c r="L7" s="10"/>
      <c r="M7" s="10"/>
      <c r="N7" s="10"/>
      <c r="O7" s="10"/>
      <c r="P7" s="10"/>
      <c r="Q7" s="10"/>
      <c r="R7" s="10"/>
    </row>
    <row r="8" spans="1:18" x14ac:dyDescent="0.25">
      <c r="K8" s="9" t="s">
        <v>31</v>
      </c>
      <c r="L8" s="17" t="str">
        <f>B20</f>
        <v>El porcentaje de tiempo en el que el sastre permanece ocioso es de 80% del tiempo</v>
      </c>
      <c r="M8" s="17"/>
      <c r="N8" s="17"/>
      <c r="O8" s="17"/>
      <c r="P8" s="17"/>
      <c r="Q8" s="17"/>
      <c r="R8" s="17"/>
    </row>
    <row r="9" spans="1:18" x14ac:dyDescent="0.25">
      <c r="K9" s="9" t="s">
        <v>32</v>
      </c>
      <c r="L9" s="17" t="str">
        <f>J20</f>
        <v>El numero promedio en la línea de espera es de 3.2 clientes</v>
      </c>
      <c r="M9" s="17"/>
      <c r="N9" s="17"/>
      <c r="O9" s="17"/>
      <c r="P9" s="17"/>
      <c r="Q9" s="17"/>
      <c r="R9" s="17"/>
    </row>
    <row r="10" spans="1:18" x14ac:dyDescent="0.25">
      <c r="K10" s="9" t="s">
        <v>33</v>
      </c>
      <c r="L10" s="17" t="str">
        <f>B25</f>
        <v>El numero promedio en el sistema es de 4 clientes</v>
      </c>
      <c r="M10" s="17"/>
      <c r="N10" s="17"/>
      <c r="O10" s="17"/>
      <c r="P10" s="17"/>
      <c r="Q10" s="17"/>
      <c r="R10" s="17"/>
    </row>
    <row r="11" spans="1:18" x14ac:dyDescent="0.25">
      <c r="K11" s="9" t="s">
        <v>34</v>
      </c>
      <c r="L11" s="17" t="str">
        <f>J25</f>
        <v>El tiempo promedio que el cliente pasa en la cola es de 0.133 horas u 8 minutos</v>
      </c>
      <c r="M11" s="17"/>
      <c r="N11" s="17"/>
      <c r="O11" s="17"/>
      <c r="P11" s="17"/>
      <c r="Q11" s="17"/>
      <c r="R11" s="17"/>
    </row>
    <row r="12" spans="1:18" x14ac:dyDescent="0.25">
      <c r="K12" s="9" t="s">
        <v>35</v>
      </c>
      <c r="L12" s="17" t="str">
        <f>B30</f>
        <v>El tiempo promedio que el cliente pasa en el sistema es de 0.167 horas o 10 minutos</v>
      </c>
      <c r="M12" s="17"/>
      <c r="N12" s="17"/>
      <c r="O12" s="17"/>
      <c r="P12" s="17"/>
      <c r="Q12" s="17"/>
      <c r="R12" s="17"/>
    </row>
    <row r="13" spans="1:18" x14ac:dyDescent="0.25">
      <c r="K13" s="9" t="s">
        <v>36</v>
      </c>
      <c r="L13" s="17" t="str">
        <f>J30</f>
        <v>La probabilidad de que al llegar se tenga que esperar es del 20%</v>
      </c>
      <c r="M13" s="17"/>
      <c r="N13" s="17"/>
      <c r="O13" s="17"/>
      <c r="P13" s="17"/>
      <c r="Q13" s="17"/>
      <c r="R13" s="17"/>
    </row>
    <row r="14" spans="1:18" x14ac:dyDescent="0.25">
      <c r="K14" s="9" t="s">
        <v>37</v>
      </c>
      <c r="L14" s="17" t="str">
        <f>B35</f>
        <v>la probabilidad de que haya más de 3 clientes esperando ser atendidos es de 8.192 %</v>
      </c>
      <c r="M14" s="17"/>
      <c r="N14" s="17"/>
      <c r="O14" s="17"/>
      <c r="P14" s="17"/>
      <c r="Q14" s="17"/>
      <c r="R14" s="17"/>
    </row>
    <row r="18" spans="2:16" x14ac:dyDescent="0.25">
      <c r="B18" s="11" t="s">
        <v>5</v>
      </c>
      <c r="C18" s="12"/>
      <c r="D18" s="12"/>
      <c r="E18" s="12"/>
      <c r="F18" s="12"/>
      <c r="G18" s="12"/>
      <c r="H18" s="13"/>
      <c r="J18" s="11" t="s">
        <v>8</v>
      </c>
      <c r="K18" s="12"/>
      <c r="L18" s="12"/>
      <c r="M18" s="12"/>
      <c r="N18" s="12"/>
      <c r="O18" s="12"/>
      <c r="P18" s="13"/>
    </row>
    <row r="19" spans="2:16" x14ac:dyDescent="0.25">
      <c r="B19" s="2" t="s">
        <v>6</v>
      </c>
      <c r="C19" s="3">
        <f>M3/P4</f>
        <v>0.8</v>
      </c>
      <c r="D19" s="3" t="s">
        <v>7</v>
      </c>
      <c r="E19" s="3">
        <f>C19*100</f>
        <v>80</v>
      </c>
      <c r="F19" s="2" t="s">
        <v>20</v>
      </c>
      <c r="G19" s="2"/>
      <c r="H19" s="2"/>
      <c r="J19" s="2" t="s">
        <v>14</v>
      </c>
      <c r="K19" s="2"/>
      <c r="L19" s="8">
        <f>(24^2)/(30*(30-24))</f>
        <v>3.2</v>
      </c>
      <c r="M19" s="2" t="s">
        <v>21</v>
      </c>
      <c r="N19" s="2"/>
      <c r="O19" s="2"/>
      <c r="P19" s="2"/>
    </row>
    <row r="20" spans="2:16" x14ac:dyDescent="0.25">
      <c r="B20" s="18" t="s">
        <v>24</v>
      </c>
      <c r="C20" s="18"/>
      <c r="D20" s="18"/>
      <c r="E20" s="18"/>
      <c r="F20" s="18"/>
      <c r="G20" s="18"/>
      <c r="H20" s="18"/>
      <c r="J20" s="18" t="s">
        <v>25</v>
      </c>
      <c r="K20" s="18"/>
      <c r="L20" s="18"/>
      <c r="M20" s="18"/>
      <c r="N20" s="18"/>
      <c r="O20" s="18"/>
      <c r="P20" s="18"/>
    </row>
    <row r="23" spans="2:16" ht="16.5" x14ac:dyDescent="0.3">
      <c r="B23" s="14" t="s">
        <v>9</v>
      </c>
      <c r="C23" s="15"/>
      <c r="D23" s="15"/>
      <c r="E23" s="15"/>
      <c r="F23" s="15"/>
      <c r="G23" s="15"/>
      <c r="H23" s="16"/>
      <c r="J23" s="14" t="s">
        <v>10</v>
      </c>
      <c r="K23" s="15"/>
      <c r="L23" s="15"/>
      <c r="M23" s="15"/>
      <c r="N23" s="15"/>
      <c r="O23" s="15"/>
      <c r="P23" s="16"/>
    </row>
    <row r="24" spans="2:16" x14ac:dyDescent="0.25">
      <c r="B24" s="2" t="s">
        <v>15</v>
      </c>
      <c r="C24" s="2"/>
      <c r="D24" s="3">
        <f xml:space="preserve"> 24/(30-24)</f>
        <v>4</v>
      </c>
      <c r="E24" s="2" t="s">
        <v>21</v>
      </c>
      <c r="F24" s="2"/>
      <c r="G24" s="2"/>
      <c r="H24" s="2"/>
      <c r="J24" s="2" t="s">
        <v>16</v>
      </c>
      <c r="K24" s="2"/>
      <c r="L24" s="5">
        <f xml:space="preserve"> 24/(30*(30-24))</f>
        <v>0.13333333333333333</v>
      </c>
      <c r="M24" s="3" t="s">
        <v>17</v>
      </c>
      <c r="N24" s="3" t="s">
        <v>7</v>
      </c>
      <c r="O24" s="6">
        <f>L24*60</f>
        <v>8</v>
      </c>
      <c r="P24" s="2" t="s">
        <v>22</v>
      </c>
    </row>
    <row r="25" spans="2:16" x14ac:dyDescent="0.25">
      <c r="B25" s="18" t="s">
        <v>26</v>
      </c>
      <c r="C25" s="18"/>
      <c r="D25" s="18"/>
      <c r="E25" s="18"/>
      <c r="F25" s="18"/>
      <c r="G25" s="18"/>
      <c r="H25" s="18"/>
      <c r="J25" s="18" t="s">
        <v>27</v>
      </c>
      <c r="K25" s="18"/>
      <c r="L25" s="18"/>
      <c r="M25" s="18"/>
      <c r="N25" s="18"/>
      <c r="O25" s="18"/>
      <c r="P25" s="18"/>
    </row>
    <row r="28" spans="2:16" ht="16.5" x14ac:dyDescent="0.3">
      <c r="B28" s="14" t="s">
        <v>11</v>
      </c>
      <c r="C28" s="15"/>
      <c r="D28" s="15"/>
      <c r="E28" s="15"/>
      <c r="F28" s="15"/>
      <c r="G28" s="15"/>
      <c r="H28" s="16"/>
      <c r="J28" s="14" t="s">
        <v>12</v>
      </c>
      <c r="K28" s="15"/>
      <c r="L28" s="15"/>
      <c r="M28" s="15"/>
      <c r="N28" s="15"/>
      <c r="O28" s="15"/>
      <c r="P28" s="16"/>
    </row>
    <row r="29" spans="2:16" x14ac:dyDescent="0.25">
      <c r="B29" s="2" t="s">
        <v>18</v>
      </c>
      <c r="C29" s="2"/>
      <c r="D29" s="5">
        <f>(1/(30-24))</f>
        <v>0.16666666666666666</v>
      </c>
      <c r="E29" s="3" t="s">
        <v>17</v>
      </c>
      <c r="F29" s="3" t="s">
        <v>7</v>
      </c>
      <c r="G29" s="6">
        <f>D29*60</f>
        <v>10</v>
      </c>
      <c r="H29" s="2" t="s">
        <v>22</v>
      </c>
      <c r="J29" s="2" t="s">
        <v>19</v>
      </c>
      <c r="K29" s="3">
        <f>1-C19</f>
        <v>0.19999999999999996</v>
      </c>
      <c r="L29" s="3" t="s">
        <v>7</v>
      </c>
      <c r="M29" s="3">
        <f>K29*100</f>
        <v>19.999999999999996</v>
      </c>
      <c r="N29" s="2" t="s">
        <v>20</v>
      </c>
      <c r="O29" s="2"/>
      <c r="P29" s="2"/>
    </row>
    <row r="30" spans="2:16" x14ac:dyDescent="0.25">
      <c r="B30" s="18" t="s">
        <v>28</v>
      </c>
      <c r="C30" s="18"/>
      <c r="D30" s="18"/>
      <c r="E30" s="18"/>
      <c r="F30" s="18"/>
      <c r="G30" s="18"/>
      <c r="H30" s="18"/>
      <c r="J30" s="18" t="s">
        <v>29</v>
      </c>
      <c r="K30" s="18"/>
      <c r="L30" s="18"/>
      <c r="M30" s="18"/>
      <c r="N30" s="18"/>
      <c r="O30" s="18"/>
      <c r="P30" s="18"/>
    </row>
    <row r="33" spans="2:8" ht="16.5" x14ac:dyDescent="0.3">
      <c r="B33" s="4" t="s">
        <v>13</v>
      </c>
      <c r="C33" s="2"/>
      <c r="D33" s="2"/>
      <c r="E33" s="2"/>
      <c r="F33" s="2"/>
      <c r="G33" s="2"/>
      <c r="H33" s="2"/>
    </row>
    <row r="34" spans="2:8" x14ac:dyDescent="0.25">
      <c r="B34" s="2" t="s">
        <v>23</v>
      </c>
      <c r="C34" s="2"/>
      <c r="D34" s="7">
        <f>K29*C19^4</f>
        <v>8.1920000000000021E-2</v>
      </c>
      <c r="E34" s="3" t="s">
        <v>7</v>
      </c>
      <c r="F34" s="3">
        <f>D34*100</f>
        <v>8.1920000000000019</v>
      </c>
      <c r="G34" s="2" t="s">
        <v>20</v>
      </c>
      <c r="H34" s="2"/>
    </row>
    <row r="35" spans="2:8" x14ac:dyDescent="0.25">
      <c r="B35" s="18" t="s">
        <v>30</v>
      </c>
      <c r="C35" s="18"/>
      <c r="D35" s="18"/>
      <c r="E35" s="18"/>
      <c r="F35" s="18"/>
      <c r="G35" s="18"/>
      <c r="H35" s="18"/>
    </row>
    <row r="37" spans="2:8" x14ac:dyDescent="0.25">
      <c r="B37" s="1"/>
    </row>
  </sheetData>
  <mergeCells count="21">
    <mergeCell ref="B35:H35"/>
    <mergeCell ref="B20:H20"/>
    <mergeCell ref="J20:P20"/>
    <mergeCell ref="B25:H25"/>
    <mergeCell ref="J25:P25"/>
    <mergeCell ref="B30:H30"/>
    <mergeCell ref="J30:P30"/>
    <mergeCell ref="J28:P28"/>
    <mergeCell ref="J23:P23"/>
    <mergeCell ref="K7:R7"/>
    <mergeCell ref="J18:P18"/>
    <mergeCell ref="B18:H18"/>
    <mergeCell ref="B23:H23"/>
    <mergeCell ref="B28:H28"/>
    <mergeCell ref="L8:R8"/>
    <mergeCell ref="L9:R9"/>
    <mergeCell ref="L10:R10"/>
    <mergeCell ref="L11:R11"/>
    <mergeCell ref="L12:R12"/>
    <mergeCell ref="L13:R13"/>
    <mergeCell ref="L14:R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JavierMonjes</dc:creator>
  <cp:lastModifiedBy>Javier Monjes</cp:lastModifiedBy>
  <dcterms:created xsi:type="dcterms:W3CDTF">2024-06-10T13:44:36Z</dcterms:created>
  <dcterms:modified xsi:type="dcterms:W3CDTF">2024-12-10T14:19:23Z</dcterms:modified>
</cp:coreProperties>
</file>