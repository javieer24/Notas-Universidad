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Escritorio\Users\U\Estudio\USAC\Semestres\2024\VacasDic\Io2\"/>
    </mc:Choice>
  </mc:AlternateContent>
  <xr:revisionPtr revIDLastSave="0" documentId="8_{65DEC500-86C3-41C8-B337-FDEADC144561}" xr6:coauthVersionLast="47" xr6:coauthVersionMax="47" xr10:uidLastSave="{00000000-0000-0000-0000-000000000000}"/>
  <bookViews>
    <workbookView xWindow="-120" yWindow="-120" windowWidth="29040" windowHeight="16440" xr2:uid="{4A87C732-272D-4469-A7CC-11BDE1266B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9" i="1"/>
  <c r="M12" i="1"/>
  <c r="M10" i="1"/>
  <c r="Q4" i="1"/>
  <c r="C26" i="1" s="1"/>
  <c r="E26" i="1" s="1"/>
  <c r="N6" i="1"/>
  <c r="Q6" i="1" s="1"/>
  <c r="S26" i="1" l="1"/>
  <c r="U26" i="1" s="1"/>
  <c r="S18" i="1"/>
  <c r="S22" i="1" s="1"/>
  <c r="S30" i="1" s="1"/>
  <c r="V30" i="1" s="1"/>
  <c r="K26" i="1"/>
  <c r="M26" i="1" s="1"/>
  <c r="K18" i="1"/>
  <c r="K22" i="1" s="1"/>
  <c r="K30" i="1" s="1"/>
  <c r="N30" i="1" s="1"/>
  <c r="C18" i="1"/>
  <c r="C22" i="1" s="1"/>
  <c r="C30" i="1" s="1"/>
  <c r="F30" i="1" s="1"/>
</calcChain>
</file>

<file path=xl/sharedStrings.xml><?xml version="1.0" encoding="utf-8"?>
<sst xmlns="http://schemas.openxmlformats.org/spreadsheetml/2006/main" count="76" uniqueCount="36">
  <si>
    <t>Datos:</t>
  </si>
  <si>
    <t>λ</t>
  </si>
  <si>
    <t>μ</t>
  </si>
  <si>
    <t xml:space="preserve"> solicitud por hora</t>
  </si>
  <si>
    <t>minutos -&gt;</t>
  </si>
  <si>
    <t>horas</t>
  </si>
  <si>
    <t xml:space="preserve">σ </t>
  </si>
  <si>
    <t>M/G/1</t>
  </si>
  <si>
    <t>ρ = λ/μ</t>
  </si>
  <si>
    <t>Lq =</t>
  </si>
  <si>
    <t>a) ¿Cuál es el número medio de usuarios en la cola de espera?</t>
  </si>
  <si>
    <t>b) ¿Cuál es el número medio de usuarios en el sistema?</t>
  </si>
  <si>
    <t>c) ¿Cuál es la probabilidad de tener 0 clientes en el sistema?</t>
  </si>
  <si>
    <t>d) ¿Cuál es el tiempo promedio de estancia en el sistema?</t>
  </si>
  <si>
    <t>Ls =</t>
  </si>
  <si>
    <t>usuarios</t>
  </si>
  <si>
    <t>Po =</t>
  </si>
  <si>
    <t>Ws =</t>
  </si>
  <si>
    <t>%</t>
  </si>
  <si>
    <t>minutos</t>
  </si>
  <si>
    <t>M/D/1</t>
  </si>
  <si>
    <t>El numero de usuarios en la cola de espera es de 0.278 usuarios</t>
  </si>
  <si>
    <t>El tiempo promedio de estancia en el sistema es de 0.778 horas o 46.667 minutos</t>
  </si>
  <si>
    <t>El tiempo promedio de estancia en el sistema es de 0.750 horas o 45 minutos</t>
  </si>
  <si>
    <t>El numero de usuarios en el sistema es de 0.750 usuarios</t>
  </si>
  <si>
    <t>El numero de usuarios en la cola de espera es de 0.250 usuarios</t>
  </si>
  <si>
    <t>El numero de usuarios en el sistema es de 0.778 usuarios</t>
  </si>
  <si>
    <t>M/EK/1</t>
  </si>
  <si>
    <t>k =</t>
  </si>
  <si>
    <t>Respuestas</t>
  </si>
  <si>
    <t>a</t>
  </si>
  <si>
    <t>b</t>
  </si>
  <si>
    <t>c</t>
  </si>
  <si>
    <t>d</t>
  </si>
  <si>
    <t>La probabilidad de tener 0 clientes en el sistema es del 50%</t>
  </si>
  <si>
    <t>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</si>
</sst>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47625</xdr:rowOff>
    </xdr:from>
    <xdr:to>
      <xdr:col>9</xdr:col>
      <xdr:colOff>733425</xdr:colOff>
      <xdr:row>13</xdr:row>
      <xdr:rowOff>138514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C03EFD-C733-CF0A-9591-9FBAB25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47625"/>
          <a:ext cx="6800850" cy="2567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BF7E-ABCB-48EB-AAAF-B52AEC58446E}">
  <dimension ref="A1:Y31"/>
  <sheetViews>
    <sheetView tabSelected="1" zoomScaleNormal="100" workbookViewId="0">
      <selection activeCell="M4" sqref="M4:O6"/>
    </sheetView>
  </sheetViews>
  <sheetFormatPr baseColWidth="10" defaultRowHeight="15" x14ac:dyDescent="0.25"/>
  <sheetData>
    <row r="1" spans="1:25" x14ac:dyDescent="0.25">
      <c r="A1">
        <v>202100081</v>
      </c>
    </row>
    <row r="3" spans="1:25" x14ac:dyDescent="0.25">
      <c r="K3" s="9" t="s">
        <v>0</v>
      </c>
    </row>
    <row r="4" spans="1:25" x14ac:dyDescent="0.25">
      <c r="K4" s="10" t="s">
        <v>1</v>
      </c>
      <c r="L4" s="7">
        <v>1</v>
      </c>
      <c r="M4" s="6" t="s">
        <v>3</v>
      </c>
      <c r="N4" s="6"/>
      <c r="O4" s="6"/>
      <c r="P4" s="1" t="s">
        <v>8</v>
      </c>
      <c r="Q4">
        <f>L4/N5</f>
        <v>0.5</v>
      </c>
    </row>
    <row r="5" spans="1:25" x14ac:dyDescent="0.25">
      <c r="K5" s="10" t="s">
        <v>2</v>
      </c>
      <c r="L5" s="7">
        <v>30</v>
      </c>
      <c r="M5" s="6" t="s">
        <v>4</v>
      </c>
      <c r="N5" s="6">
        <v>2</v>
      </c>
      <c r="O5" s="6" t="s">
        <v>5</v>
      </c>
    </row>
    <row r="6" spans="1:25" x14ac:dyDescent="0.25">
      <c r="K6" s="10" t="s">
        <v>6</v>
      </c>
      <c r="L6" s="7">
        <v>10</v>
      </c>
      <c r="M6" s="6" t="s">
        <v>4</v>
      </c>
      <c r="N6" s="6">
        <f>L6/60</f>
        <v>0.16666666666666666</v>
      </c>
      <c r="O6" s="6" t="s">
        <v>5</v>
      </c>
      <c r="P6" t="s">
        <v>28</v>
      </c>
      <c r="Q6">
        <f>1/((N5^2)*(N6^2))</f>
        <v>9</v>
      </c>
    </row>
    <row r="8" spans="1:25" x14ac:dyDescent="0.25">
      <c r="L8" s="11" t="s">
        <v>29</v>
      </c>
      <c r="M8" s="11"/>
      <c r="N8" s="11"/>
      <c r="O8" s="11"/>
      <c r="P8" s="11"/>
      <c r="Q8" s="11"/>
      <c r="R8" s="11"/>
      <c r="S8" s="11"/>
    </row>
    <row r="9" spans="1:25" x14ac:dyDescent="0.25">
      <c r="L9" s="8" t="s">
        <v>30</v>
      </c>
      <c r="M9" s="21" t="str">
        <f>B19</f>
        <v>El numero de usuarios en la cola de espera es de 0.278 usuarios</v>
      </c>
      <c r="N9" s="21"/>
      <c r="O9" s="21"/>
      <c r="P9" s="21"/>
      <c r="Q9" s="21"/>
      <c r="R9" s="21"/>
      <c r="S9" s="21"/>
    </row>
    <row r="10" spans="1:25" x14ac:dyDescent="0.25">
      <c r="L10" s="8" t="s">
        <v>31</v>
      </c>
      <c r="M10" s="21" t="str">
        <f>B23</f>
        <v>El numero de usuarios en el sistema es de 0.778 usuarios</v>
      </c>
      <c r="N10" s="21"/>
      <c r="O10" s="21"/>
      <c r="P10" s="21"/>
      <c r="Q10" s="21"/>
      <c r="R10" s="21"/>
      <c r="S10" s="21"/>
    </row>
    <row r="11" spans="1:25" x14ac:dyDescent="0.25">
      <c r="L11" s="8" t="s">
        <v>32</v>
      </c>
      <c r="M11" s="21" t="str">
        <f>B27</f>
        <v>La probabilidad de tener 0 clientes en el sistema es del 50%</v>
      </c>
      <c r="N11" s="21"/>
      <c r="O11" s="21"/>
      <c r="P11" s="21"/>
      <c r="Q11" s="21"/>
      <c r="R11" s="21"/>
      <c r="S11" s="21"/>
    </row>
    <row r="12" spans="1:25" x14ac:dyDescent="0.25">
      <c r="L12" s="8" t="s">
        <v>33</v>
      </c>
      <c r="M12" s="6" t="str">
        <f>B31</f>
        <v>El tiempo promedio de estancia en el sistema es de 0.778 horas o 46.667 minutos</v>
      </c>
      <c r="N12" s="6"/>
      <c r="O12" s="6"/>
      <c r="P12" s="6"/>
      <c r="Q12" s="6"/>
      <c r="R12" s="6"/>
      <c r="S12" s="6"/>
    </row>
    <row r="16" spans="1:25" x14ac:dyDescent="0.25">
      <c r="B16" s="23" t="s">
        <v>7</v>
      </c>
      <c r="C16" s="23"/>
      <c r="D16" s="23"/>
      <c r="E16" s="23"/>
      <c r="F16" s="23"/>
      <c r="G16" s="23"/>
      <c r="H16" s="23"/>
      <c r="I16" s="2"/>
      <c r="J16" s="13" t="s">
        <v>27</v>
      </c>
      <c r="K16" s="13"/>
      <c r="L16" s="13"/>
      <c r="M16" s="13"/>
      <c r="N16" s="13"/>
      <c r="O16" s="13"/>
      <c r="P16" s="13"/>
      <c r="Q16" s="2"/>
      <c r="R16" s="20" t="s">
        <v>20</v>
      </c>
      <c r="S16" s="20"/>
      <c r="T16" s="20"/>
      <c r="U16" s="20"/>
      <c r="V16" s="20"/>
      <c r="W16" s="20"/>
      <c r="X16" s="20"/>
      <c r="Y16" s="2"/>
    </row>
    <row r="17" spans="2:24" x14ac:dyDescent="0.25">
      <c r="B17" s="12" t="s">
        <v>10</v>
      </c>
      <c r="C17" s="12"/>
      <c r="D17" s="12"/>
      <c r="E17" s="12"/>
      <c r="F17" s="12"/>
      <c r="G17" s="12"/>
      <c r="H17" s="12"/>
      <c r="J17" s="17" t="s">
        <v>10</v>
      </c>
      <c r="K17" s="18"/>
      <c r="L17" s="18"/>
      <c r="M17" s="18"/>
      <c r="N17" s="18"/>
      <c r="O17" s="18"/>
      <c r="P17" s="19"/>
      <c r="R17" s="12" t="s">
        <v>10</v>
      </c>
      <c r="S17" s="12"/>
      <c r="T17" s="12"/>
      <c r="U17" s="12"/>
      <c r="V17" s="12"/>
      <c r="W17" s="12"/>
      <c r="X17" s="12"/>
    </row>
    <row r="18" spans="2:24" x14ac:dyDescent="0.25">
      <c r="B18" s="4" t="s">
        <v>9</v>
      </c>
      <c r="C18" s="5">
        <f>((L4^2)*(N6^2)+Q4^2)/(2*(L4-Q4))</f>
        <v>0.27777777777777779</v>
      </c>
      <c r="D18" s="4" t="s">
        <v>15</v>
      </c>
      <c r="E18" s="6"/>
      <c r="F18" s="6"/>
      <c r="G18" s="6"/>
      <c r="H18" s="6"/>
      <c r="J18" s="4" t="s">
        <v>9</v>
      </c>
      <c r="K18" s="5">
        <f>((Q4^2)*(1+Q6))/(2*Q6*(1-Q4))</f>
        <v>0.27777777777777779</v>
      </c>
      <c r="L18" s="4" t="s">
        <v>15</v>
      </c>
      <c r="M18" s="6"/>
      <c r="N18" s="6"/>
      <c r="O18" s="6"/>
      <c r="P18" s="6"/>
      <c r="R18" s="4" t="s">
        <v>9</v>
      </c>
      <c r="S18" s="5">
        <f>(Q4^2)/(2*(1-Q4))</f>
        <v>0.25</v>
      </c>
      <c r="T18" s="4" t="s">
        <v>15</v>
      </c>
      <c r="U18" s="6"/>
      <c r="V18" s="6"/>
      <c r="W18" s="6"/>
      <c r="X18" s="6"/>
    </row>
    <row r="19" spans="2:24" x14ac:dyDescent="0.25">
      <c r="B19" s="22" t="s">
        <v>21</v>
      </c>
      <c r="C19" s="22"/>
      <c r="D19" s="22"/>
      <c r="E19" s="22"/>
      <c r="F19" s="22"/>
      <c r="G19" s="22"/>
      <c r="H19" s="22"/>
      <c r="J19" s="14" t="s">
        <v>21</v>
      </c>
      <c r="K19" s="15"/>
      <c r="L19" s="15"/>
      <c r="M19" s="15"/>
      <c r="N19" s="15"/>
      <c r="O19" s="15"/>
      <c r="P19" s="16"/>
      <c r="R19" s="22" t="s">
        <v>25</v>
      </c>
      <c r="S19" s="22"/>
      <c r="T19" s="22"/>
      <c r="U19" s="22"/>
      <c r="V19" s="22"/>
      <c r="W19" s="22"/>
      <c r="X19" s="22"/>
    </row>
    <row r="20" spans="2:24" x14ac:dyDescent="0.25">
      <c r="B20" s="6"/>
      <c r="C20" s="6"/>
      <c r="D20" s="6"/>
      <c r="E20" s="6"/>
      <c r="F20" s="6"/>
      <c r="G20" s="6"/>
      <c r="H20" s="6"/>
      <c r="J20" s="6"/>
      <c r="K20" s="6"/>
      <c r="L20" s="6"/>
      <c r="M20" s="6"/>
      <c r="N20" s="6"/>
      <c r="O20" s="6"/>
      <c r="P20" s="6"/>
      <c r="R20" s="6"/>
      <c r="S20" s="6"/>
      <c r="T20" s="6"/>
      <c r="U20" s="6"/>
      <c r="V20" s="6"/>
      <c r="W20" s="6"/>
      <c r="X20" s="6"/>
    </row>
    <row r="21" spans="2:24" x14ac:dyDescent="0.25">
      <c r="B21" s="12" t="s">
        <v>11</v>
      </c>
      <c r="C21" s="12"/>
      <c r="D21" s="12"/>
      <c r="E21" s="12"/>
      <c r="F21" s="12"/>
      <c r="G21" s="12"/>
      <c r="H21" s="12"/>
      <c r="J21" s="17" t="s">
        <v>11</v>
      </c>
      <c r="K21" s="18"/>
      <c r="L21" s="18"/>
      <c r="M21" s="18"/>
      <c r="N21" s="18"/>
      <c r="O21" s="18"/>
      <c r="P21" s="19"/>
      <c r="R21" s="12" t="s">
        <v>11</v>
      </c>
      <c r="S21" s="12"/>
      <c r="T21" s="12"/>
      <c r="U21" s="12"/>
      <c r="V21" s="12"/>
      <c r="W21" s="12"/>
      <c r="X21" s="12"/>
    </row>
    <row r="22" spans="2:24" x14ac:dyDescent="0.25">
      <c r="B22" s="4" t="s">
        <v>14</v>
      </c>
      <c r="C22" s="5">
        <f>C18+Q4</f>
        <v>0.77777777777777779</v>
      </c>
      <c r="D22" s="4" t="s">
        <v>15</v>
      </c>
      <c r="E22" s="6"/>
      <c r="F22" s="6"/>
      <c r="G22" s="6"/>
      <c r="H22" s="6"/>
      <c r="J22" s="4" t="s">
        <v>14</v>
      </c>
      <c r="K22" s="5">
        <f>K18+Q4</f>
        <v>0.77777777777777779</v>
      </c>
      <c r="L22" s="4" t="s">
        <v>15</v>
      </c>
      <c r="M22" s="6"/>
      <c r="N22" s="6"/>
      <c r="O22" s="6"/>
      <c r="P22" s="6"/>
      <c r="R22" s="4" t="s">
        <v>14</v>
      </c>
      <c r="S22" s="5">
        <f>S18+Q4</f>
        <v>0.75</v>
      </c>
      <c r="T22" s="4" t="s">
        <v>15</v>
      </c>
      <c r="U22" s="6"/>
      <c r="V22" s="6"/>
      <c r="W22" s="6"/>
      <c r="X22" s="6"/>
    </row>
    <row r="23" spans="2:24" x14ac:dyDescent="0.25">
      <c r="B23" s="22" t="s">
        <v>26</v>
      </c>
      <c r="C23" s="22"/>
      <c r="D23" s="22"/>
      <c r="E23" s="22"/>
      <c r="F23" s="22"/>
      <c r="G23" s="22"/>
      <c r="H23" s="22"/>
      <c r="J23" s="14" t="s">
        <v>26</v>
      </c>
      <c r="K23" s="15"/>
      <c r="L23" s="15"/>
      <c r="M23" s="15"/>
      <c r="N23" s="15"/>
      <c r="O23" s="15"/>
      <c r="P23" s="16"/>
      <c r="R23" s="22" t="s">
        <v>24</v>
      </c>
      <c r="S23" s="22"/>
      <c r="T23" s="22"/>
      <c r="U23" s="22"/>
      <c r="V23" s="22"/>
      <c r="W23" s="22"/>
      <c r="X23" s="22"/>
    </row>
    <row r="24" spans="2:24" x14ac:dyDescent="0.25">
      <c r="B24" s="6"/>
      <c r="C24" s="6"/>
      <c r="D24" s="6"/>
      <c r="E24" s="6"/>
      <c r="F24" s="6"/>
      <c r="G24" s="6"/>
      <c r="H24" s="6"/>
      <c r="J24" s="6"/>
      <c r="K24" s="6"/>
      <c r="L24" s="6"/>
      <c r="M24" s="6"/>
      <c r="N24" s="6"/>
      <c r="O24" s="6"/>
      <c r="P24" s="3"/>
      <c r="R24" s="6"/>
      <c r="S24" s="6"/>
      <c r="T24" s="6"/>
      <c r="U24" s="6"/>
      <c r="V24" s="6"/>
      <c r="W24" s="6"/>
      <c r="X24" s="6"/>
    </row>
    <row r="25" spans="2:24" x14ac:dyDescent="0.25">
      <c r="B25" s="12" t="s">
        <v>12</v>
      </c>
      <c r="C25" s="12"/>
      <c r="D25" s="12"/>
      <c r="E25" s="12"/>
      <c r="F25" s="12"/>
      <c r="G25" s="12"/>
      <c r="H25" s="12"/>
      <c r="J25" s="17" t="s">
        <v>12</v>
      </c>
      <c r="K25" s="18"/>
      <c r="L25" s="18"/>
      <c r="M25" s="18"/>
      <c r="N25" s="18"/>
      <c r="O25" s="18"/>
      <c r="P25" s="19"/>
      <c r="R25" s="12" t="s">
        <v>12</v>
      </c>
      <c r="S25" s="12"/>
      <c r="T25" s="12"/>
      <c r="U25" s="12"/>
      <c r="V25" s="12"/>
      <c r="W25" s="12"/>
      <c r="X25" s="12"/>
    </row>
    <row r="26" spans="2:24" x14ac:dyDescent="0.25">
      <c r="B26" s="4" t="s">
        <v>16</v>
      </c>
      <c r="C26" s="4">
        <f>1-Q4</f>
        <v>0.5</v>
      </c>
      <c r="D26" s="4" t="s">
        <v>35</v>
      </c>
      <c r="E26" s="4">
        <f>C26*100</f>
        <v>50</v>
      </c>
      <c r="F26" s="4" t="s">
        <v>18</v>
      </c>
      <c r="G26" s="6"/>
      <c r="H26" s="6"/>
      <c r="J26" s="4" t="s">
        <v>16</v>
      </c>
      <c r="K26" s="4">
        <f>1-Q4</f>
        <v>0.5</v>
      </c>
      <c r="L26" s="4" t="s">
        <v>35</v>
      </c>
      <c r="M26" s="4">
        <f>K26*100</f>
        <v>50</v>
      </c>
      <c r="N26" s="4" t="s">
        <v>18</v>
      </c>
      <c r="O26" s="6"/>
      <c r="P26" s="6"/>
      <c r="R26" s="4" t="s">
        <v>16</v>
      </c>
      <c r="S26" s="4">
        <f>1-Q4</f>
        <v>0.5</v>
      </c>
      <c r="T26" s="4" t="s">
        <v>35</v>
      </c>
      <c r="U26" s="4">
        <f>S26*100</f>
        <v>50</v>
      </c>
      <c r="V26" s="4" t="s">
        <v>18</v>
      </c>
      <c r="W26" s="6"/>
      <c r="X26" s="6"/>
    </row>
    <row r="27" spans="2:24" x14ac:dyDescent="0.25">
      <c r="B27" s="22" t="s">
        <v>34</v>
      </c>
      <c r="C27" s="22"/>
      <c r="D27" s="22"/>
      <c r="E27" s="22"/>
      <c r="F27" s="22"/>
      <c r="G27" s="22"/>
      <c r="H27" s="22"/>
      <c r="J27" s="14" t="s">
        <v>34</v>
      </c>
      <c r="K27" s="15"/>
      <c r="L27" s="15"/>
      <c r="M27" s="15"/>
      <c r="N27" s="15"/>
      <c r="O27" s="15"/>
      <c r="P27" s="16"/>
      <c r="R27" s="22" t="s">
        <v>34</v>
      </c>
      <c r="S27" s="22"/>
      <c r="T27" s="22"/>
      <c r="U27" s="22"/>
      <c r="V27" s="22"/>
      <c r="W27" s="22"/>
      <c r="X27" s="22"/>
    </row>
    <row r="28" spans="2:24" x14ac:dyDescent="0.25">
      <c r="B28" s="6"/>
      <c r="C28" s="6"/>
      <c r="D28" s="6"/>
      <c r="E28" s="6"/>
      <c r="F28" s="6"/>
      <c r="G28" s="6"/>
      <c r="H28" s="6"/>
      <c r="J28" s="6"/>
      <c r="K28" s="6"/>
      <c r="L28" s="6"/>
      <c r="M28" s="6"/>
      <c r="N28" s="6"/>
      <c r="O28" s="6"/>
      <c r="P28" s="6"/>
      <c r="R28" s="6"/>
      <c r="S28" s="6"/>
      <c r="T28" s="6"/>
      <c r="U28" s="6"/>
      <c r="V28" s="6"/>
      <c r="W28" s="6"/>
      <c r="X28" s="6"/>
    </row>
    <row r="29" spans="2:24" x14ac:dyDescent="0.25">
      <c r="B29" s="12" t="s">
        <v>13</v>
      </c>
      <c r="C29" s="12"/>
      <c r="D29" s="12"/>
      <c r="E29" s="12"/>
      <c r="F29" s="12"/>
      <c r="G29" s="12"/>
      <c r="H29" s="12"/>
      <c r="J29" s="17" t="s">
        <v>13</v>
      </c>
      <c r="K29" s="18"/>
      <c r="L29" s="18"/>
      <c r="M29" s="18"/>
      <c r="N29" s="18"/>
      <c r="O29" s="18"/>
      <c r="P29" s="19"/>
      <c r="R29" s="12" t="s">
        <v>13</v>
      </c>
      <c r="S29" s="12"/>
      <c r="T29" s="12"/>
      <c r="U29" s="12"/>
      <c r="V29" s="12"/>
      <c r="W29" s="12"/>
      <c r="X29" s="12"/>
    </row>
    <row r="30" spans="2:24" x14ac:dyDescent="0.25">
      <c r="B30" s="4" t="s">
        <v>17</v>
      </c>
      <c r="C30" s="5">
        <f>C22/L4</f>
        <v>0.77777777777777779</v>
      </c>
      <c r="D30" s="4" t="s">
        <v>5</v>
      </c>
      <c r="E30" s="4" t="s">
        <v>35</v>
      </c>
      <c r="F30" s="5">
        <f>C30*60</f>
        <v>46.666666666666664</v>
      </c>
      <c r="G30" s="4" t="s">
        <v>19</v>
      </c>
      <c r="H30" s="6"/>
      <c r="J30" s="4" t="s">
        <v>17</v>
      </c>
      <c r="K30" s="5">
        <f>K22/1</f>
        <v>0.77777777777777779</v>
      </c>
      <c r="L30" s="4" t="s">
        <v>5</v>
      </c>
      <c r="M30" s="4" t="s">
        <v>35</v>
      </c>
      <c r="N30" s="5">
        <f>K30*60</f>
        <v>46.666666666666664</v>
      </c>
      <c r="O30" s="4" t="s">
        <v>19</v>
      </c>
      <c r="P30" s="6"/>
      <c r="R30" s="4" t="s">
        <v>17</v>
      </c>
      <c r="S30" s="5">
        <f>S22/L4</f>
        <v>0.75</v>
      </c>
      <c r="T30" s="4" t="s">
        <v>5</v>
      </c>
      <c r="U30" s="4" t="s">
        <v>35</v>
      </c>
      <c r="V30" s="5">
        <f>S30*60</f>
        <v>45</v>
      </c>
      <c r="W30" s="4" t="s">
        <v>19</v>
      </c>
      <c r="X30" s="6"/>
    </row>
    <row r="31" spans="2:24" x14ac:dyDescent="0.25">
      <c r="B31" s="22" t="s">
        <v>22</v>
      </c>
      <c r="C31" s="22"/>
      <c r="D31" s="22"/>
      <c r="E31" s="22"/>
      <c r="F31" s="22"/>
      <c r="G31" s="22"/>
      <c r="H31" s="22"/>
      <c r="J31" s="22" t="s">
        <v>22</v>
      </c>
      <c r="K31" s="22"/>
      <c r="L31" s="22"/>
      <c r="M31" s="22"/>
      <c r="N31" s="22"/>
      <c r="O31" s="22"/>
      <c r="P31" s="22"/>
      <c r="R31" s="22" t="s">
        <v>23</v>
      </c>
      <c r="S31" s="22"/>
      <c r="T31" s="22"/>
      <c r="U31" s="22"/>
      <c r="V31" s="22"/>
      <c r="W31" s="22"/>
      <c r="X31" s="22"/>
    </row>
  </sheetData>
  <mergeCells count="31">
    <mergeCell ref="B19:H19"/>
    <mergeCell ref="B23:H23"/>
    <mergeCell ref="B27:H27"/>
    <mergeCell ref="B31:H31"/>
    <mergeCell ref="B16:H16"/>
    <mergeCell ref="R27:X27"/>
    <mergeCell ref="R31:X31"/>
    <mergeCell ref="J19:P19"/>
    <mergeCell ref="J29:P29"/>
    <mergeCell ref="J31:P31"/>
    <mergeCell ref="M9:S9"/>
    <mergeCell ref="M10:S10"/>
    <mergeCell ref="M11:S11"/>
    <mergeCell ref="R19:X19"/>
    <mergeCell ref="R23:X23"/>
    <mergeCell ref="L8:S8"/>
    <mergeCell ref="B17:H17"/>
    <mergeCell ref="B21:H21"/>
    <mergeCell ref="B25:H25"/>
    <mergeCell ref="B29:H29"/>
    <mergeCell ref="J16:P16"/>
    <mergeCell ref="J23:P23"/>
    <mergeCell ref="J27:P27"/>
    <mergeCell ref="J25:P25"/>
    <mergeCell ref="J21:P21"/>
    <mergeCell ref="J17:P17"/>
    <mergeCell ref="R16:X16"/>
    <mergeCell ref="R17:X17"/>
    <mergeCell ref="R21:X21"/>
    <mergeCell ref="R25:X25"/>
    <mergeCell ref="R29:X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Monjes</dc:creator>
  <cp:lastModifiedBy>Javier Monjes</cp:lastModifiedBy>
  <dcterms:created xsi:type="dcterms:W3CDTF">2024-06-10T15:03:38Z</dcterms:created>
  <dcterms:modified xsi:type="dcterms:W3CDTF">2024-12-10T14:18:25Z</dcterms:modified>
</cp:coreProperties>
</file>