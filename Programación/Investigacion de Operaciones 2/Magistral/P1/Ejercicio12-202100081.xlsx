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Escritorio\Users\U\Estudio\USAC\Semestres\2024\VacasDic\Io2\"/>
    </mc:Choice>
  </mc:AlternateContent>
  <xr:revisionPtr revIDLastSave="0" documentId="8_{4B2F64FD-1598-409A-8A24-B1048EFE13AD}" xr6:coauthVersionLast="47" xr6:coauthVersionMax="47" xr10:uidLastSave="{00000000-0000-0000-0000-000000000000}"/>
  <bookViews>
    <workbookView xWindow="-120" yWindow="-120" windowWidth="29040" windowHeight="16440" xr2:uid="{99983CB0-2EBA-4FA8-BB5B-6BEF4BDA67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P17" i="1"/>
  <c r="I6" i="1"/>
  <c r="C24" i="1" s="1"/>
  <c r="D18" i="1" l="1"/>
  <c r="F18" i="1" s="1"/>
  <c r="N17" i="1"/>
  <c r="P18" i="1"/>
  <c r="R17" i="1" l="1"/>
  <c r="C25" i="1" s="1"/>
  <c r="K24" i="1" s="1"/>
  <c r="F25" i="1" l="1"/>
  <c r="N24" i="1"/>
  <c r="C30" i="1"/>
</calcChain>
</file>

<file path=xl/sharedStrings.xml><?xml version="1.0" encoding="utf-8"?>
<sst xmlns="http://schemas.openxmlformats.org/spreadsheetml/2006/main" count="48" uniqueCount="40">
  <si>
    <t>Datos:</t>
  </si>
  <si>
    <t>a) ¿Cuál es la probabilidad de que los mecánicos no tengan nada que hacer?</t>
  </si>
  <si>
    <t>b) ¿Cuál es el promedio de vehículos en el taller?</t>
  </si>
  <si>
    <t>c) ¿Cuánto tiempo pasa por término medio un vehículo en el taller?</t>
  </si>
  <si>
    <t>d) ¿Cuánto tiempo esperan por término medio los vehículos en la cola?</t>
  </si>
  <si>
    <t>e) ¿Cuál es la longitud media de la cola?</t>
  </si>
  <si>
    <t>λ</t>
  </si>
  <si>
    <t>μ</t>
  </si>
  <si>
    <t>vehículos por hora</t>
  </si>
  <si>
    <t>ρ</t>
  </si>
  <si>
    <t>ρ =λ/μ =</t>
  </si>
  <si>
    <t xml:space="preserve">Po = (1 - ρ )/(1 - ρ^(k+1)) </t>
  </si>
  <si>
    <t>k</t>
  </si>
  <si>
    <t>vehículos</t>
  </si>
  <si>
    <t>o</t>
  </si>
  <si>
    <t>%</t>
  </si>
  <si>
    <t xml:space="preserve">Ls = </t>
  </si>
  <si>
    <t>(1-ρ)</t>
  </si>
  <si>
    <t>-</t>
  </si>
  <si>
    <t>(k+1)ρ^(k+1)</t>
  </si>
  <si>
    <t>1- ρ^(k+1)</t>
  </si>
  <si>
    <t>=</t>
  </si>
  <si>
    <t>λef =</t>
  </si>
  <si>
    <t>Ws = Ls/λef =</t>
  </si>
  <si>
    <t>horas</t>
  </si>
  <si>
    <t>minutos</t>
  </si>
  <si>
    <t>Wq = Ws - 1/μ =</t>
  </si>
  <si>
    <t>Lq = λef *Wq</t>
  </si>
  <si>
    <t xml:space="preserve">vehículos </t>
  </si>
  <si>
    <t>la probabilidad de que los mecánicos no tengan nada que hacer es del 2.5%</t>
  </si>
  <si>
    <t>El promedio de vehíclos en el taller es de 2.55 vehículos</t>
  </si>
  <si>
    <t>Pasan 0.523 horas o 31.385 minutos</t>
  </si>
  <si>
    <t>Los vehículos esperan 0.323 horas o 19.385 minutos en la cola</t>
  </si>
  <si>
    <t>La longitud media de la cola es de 1.575 vehículos</t>
  </si>
  <si>
    <t>Respuestas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</si>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</sst>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1A1E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6569</xdr:colOff>
      <xdr:row>11</xdr:row>
      <xdr:rowOff>131397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4D17A3-03C9-E13D-D263-FF9C6EA69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629603" cy="2036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8E80-ACF7-4A77-BA40-D4CF76C9284B}">
  <dimension ref="A1:S34"/>
  <sheetViews>
    <sheetView tabSelected="1" zoomScale="115" zoomScaleNormal="115" workbookViewId="0">
      <selection activeCell="K31" sqref="K31"/>
    </sheetView>
  </sheetViews>
  <sheetFormatPr baseColWidth="10" defaultRowHeight="15" x14ac:dyDescent="0.25"/>
  <cols>
    <col min="3" max="4" width="13.5703125" bestFit="1" customWidth="1"/>
  </cols>
  <sheetData>
    <row r="1" spans="1:19" x14ac:dyDescent="0.25">
      <c r="A1">
        <v>202100081</v>
      </c>
    </row>
    <row r="2" spans="1:19" x14ac:dyDescent="0.25">
      <c r="J2" s="3" t="s">
        <v>12</v>
      </c>
      <c r="K2" s="4">
        <v>3</v>
      </c>
      <c r="L2" s="3" t="s">
        <v>13</v>
      </c>
    </row>
    <row r="3" spans="1:19" x14ac:dyDescent="0.25">
      <c r="H3" s="7" t="s">
        <v>0</v>
      </c>
    </row>
    <row r="4" spans="1:19" x14ac:dyDescent="0.25">
      <c r="H4" s="7" t="s">
        <v>6</v>
      </c>
      <c r="I4" s="7">
        <v>15</v>
      </c>
      <c r="J4" s="3" t="s">
        <v>8</v>
      </c>
      <c r="K4" s="3"/>
    </row>
    <row r="5" spans="1:19" x14ac:dyDescent="0.25">
      <c r="H5" s="7" t="s">
        <v>7</v>
      </c>
      <c r="I5" s="7">
        <v>5</v>
      </c>
      <c r="J5" s="3" t="s">
        <v>8</v>
      </c>
      <c r="K5" s="3"/>
    </row>
    <row r="6" spans="1:19" x14ac:dyDescent="0.25">
      <c r="H6" s="7" t="s">
        <v>10</v>
      </c>
      <c r="I6" s="4">
        <f>I4/I5</f>
        <v>3</v>
      </c>
    </row>
    <row r="8" spans="1:19" x14ac:dyDescent="0.25">
      <c r="I8" s="12" t="s">
        <v>34</v>
      </c>
      <c r="J8" s="12"/>
      <c r="K8" s="12"/>
      <c r="L8" s="12"/>
      <c r="M8" s="12"/>
      <c r="N8" s="12"/>
      <c r="O8" s="12"/>
    </row>
    <row r="9" spans="1:19" x14ac:dyDescent="0.25">
      <c r="I9" s="11" t="s">
        <v>35</v>
      </c>
      <c r="J9" s="13" t="str">
        <f>B19</f>
        <v>la probabilidad de que los mecánicos no tengan nada que hacer es del 2.5%</v>
      </c>
      <c r="K9" s="13"/>
      <c r="L9" s="13"/>
      <c r="M9" s="13"/>
      <c r="N9" s="13"/>
      <c r="O9" s="13"/>
    </row>
    <row r="10" spans="1:19" x14ac:dyDescent="0.25">
      <c r="I10" s="11" t="s">
        <v>36</v>
      </c>
      <c r="J10" s="13" t="str">
        <f>I19</f>
        <v>El promedio de vehíclos en el taller es de 2.55 vehículos</v>
      </c>
      <c r="K10" s="13"/>
      <c r="L10" s="13"/>
      <c r="M10" s="13"/>
      <c r="N10" s="13"/>
      <c r="O10" s="13"/>
    </row>
    <row r="11" spans="1:19" x14ac:dyDescent="0.25">
      <c r="I11" s="11" t="s">
        <v>37</v>
      </c>
      <c r="J11" s="13" t="str">
        <f>B26</f>
        <v>Pasan 0.523 horas o 31.385 minutos</v>
      </c>
      <c r="K11" s="13"/>
      <c r="L11" s="13"/>
      <c r="M11" s="13"/>
      <c r="N11" s="13"/>
      <c r="O11" s="13"/>
    </row>
    <row r="12" spans="1:19" x14ac:dyDescent="0.25">
      <c r="I12" s="11" t="s">
        <v>38</v>
      </c>
      <c r="J12" s="13" t="str">
        <f>I25</f>
        <v>Los vehículos esperan 0.323 horas o 19.385 minutos en la cola</v>
      </c>
      <c r="K12" s="13"/>
      <c r="L12" s="13"/>
      <c r="M12" s="13"/>
      <c r="N12" s="13"/>
      <c r="O12" s="13"/>
    </row>
    <row r="13" spans="1:19" x14ac:dyDescent="0.25">
      <c r="I13" s="11" t="s">
        <v>39</v>
      </c>
      <c r="J13" s="13" t="str">
        <f>B31</f>
        <v>La longitud media de la cola es de 1.575 vehículos</v>
      </c>
      <c r="K13" s="13"/>
      <c r="L13" s="13"/>
      <c r="M13" s="13"/>
      <c r="N13" s="13"/>
      <c r="O13" s="13"/>
    </row>
    <row r="15" spans="1:19" x14ac:dyDescent="0.25">
      <c r="I15" s="2" t="s">
        <v>2</v>
      </c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25">
      <c r="B16" s="5" t="s">
        <v>1</v>
      </c>
      <c r="C16" s="3"/>
      <c r="D16" s="3"/>
      <c r="E16" s="3"/>
      <c r="F16" s="3"/>
      <c r="G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2:19" x14ac:dyDescent="0.25">
      <c r="B17" s="3"/>
      <c r="C17" s="3"/>
      <c r="D17" s="3"/>
      <c r="E17" s="3"/>
      <c r="F17" s="3"/>
      <c r="G17" s="3"/>
      <c r="H17" s="1"/>
      <c r="I17" s="16" t="s">
        <v>16</v>
      </c>
      <c r="J17" s="4" t="s">
        <v>9</v>
      </c>
      <c r="K17" s="14" t="s">
        <v>18</v>
      </c>
      <c r="L17" s="4" t="s">
        <v>19</v>
      </c>
      <c r="M17" s="14" t="s">
        <v>21</v>
      </c>
      <c r="N17" s="16">
        <f>I6/(1-I6)</f>
        <v>-1.5</v>
      </c>
      <c r="O17" s="14" t="s">
        <v>18</v>
      </c>
      <c r="P17" s="4">
        <f>(3+1)*3^(3+1)</f>
        <v>324</v>
      </c>
      <c r="Q17" s="14" t="s">
        <v>21</v>
      </c>
      <c r="R17" s="16">
        <f>N17-(P17/P18)</f>
        <v>2.5499999999999998</v>
      </c>
      <c r="S17" s="16" t="s">
        <v>13</v>
      </c>
    </row>
    <row r="18" spans="2:19" x14ac:dyDescent="0.25">
      <c r="B18" s="3" t="s">
        <v>11</v>
      </c>
      <c r="C18" s="3"/>
      <c r="D18" s="4">
        <f>(1 -I6)/(1 - I6^(K2+1))</f>
        <v>2.5000000000000001E-2</v>
      </c>
      <c r="E18" s="4" t="s">
        <v>14</v>
      </c>
      <c r="F18" s="4">
        <f>D18*100</f>
        <v>2.5</v>
      </c>
      <c r="G18" s="4" t="s">
        <v>15</v>
      </c>
      <c r="I18" s="17"/>
      <c r="J18" s="4" t="s">
        <v>17</v>
      </c>
      <c r="K18" s="15"/>
      <c r="L18" s="4" t="s">
        <v>20</v>
      </c>
      <c r="M18" s="15"/>
      <c r="N18" s="17"/>
      <c r="O18" s="15"/>
      <c r="P18" s="4">
        <f>1- I6^(K2+1)</f>
        <v>-80</v>
      </c>
      <c r="Q18" s="15"/>
      <c r="R18" s="17"/>
      <c r="S18" s="17"/>
    </row>
    <row r="19" spans="2:19" x14ac:dyDescent="0.25">
      <c r="B19" s="18" t="s">
        <v>29</v>
      </c>
      <c r="C19" s="18"/>
      <c r="D19" s="18"/>
      <c r="E19" s="18"/>
      <c r="F19" s="18"/>
      <c r="G19" s="18"/>
      <c r="I19" s="19" t="s">
        <v>30</v>
      </c>
      <c r="J19" s="20"/>
      <c r="K19" s="20"/>
      <c r="L19" s="20"/>
      <c r="M19" s="20"/>
      <c r="N19" s="20"/>
      <c r="O19" s="20"/>
      <c r="P19" s="20"/>
      <c r="Q19" s="20"/>
      <c r="R19" s="20"/>
      <c r="S19" s="21"/>
    </row>
    <row r="22" spans="2:19" x14ac:dyDescent="0.25">
      <c r="B22" s="2" t="s">
        <v>3</v>
      </c>
      <c r="C22" s="3"/>
      <c r="D22" s="3"/>
      <c r="E22" s="3"/>
      <c r="F22" s="3"/>
      <c r="G22" s="3"/>
      <c r="I22" s="2" t="s">
        <v>4</v>
      </c>
      <c r="J22" s="5"/>
      <c r="K22" s="5"/>
      <c r="L22" s="5"/>
      <c r="M22" s="5"/>
      <c r="N22" s="5"/>
      <c r="O22" s="3"/>
      <c r="P22" s="3"/>
    </row>
    <row r="23" spans="2:19" x14ac:dyDescent="0.25">
      <c r="B23" s="3"/>
      <c r="C23" s="3"/>
      <c r="D23" s="3"/>
      <c r="E23" s="3"/>
      <c r="F23" s="3"/>
      <c r="G23" s="3"/>
      <c r="I23" s="3"/>
      <c r="J23" s="3"/>
      <c r="K23" s="3"/>
      <c r="L23" s="3"/>
      <c r="M23" s="3"/>
      <c r="N23" s="3"/>
      <c r="O23" s="3"/>
      <c r="P23" s="3"/>
    </row>
    <row r="24" spans="2:19" x14ac:dyDescent="0.25">
      <c r="B24" s="3" t="s">
        <v>22</v>
      </c>
      <c r="C24" s="3">
        <f>I4*(1-((1-I6)*(I6^3)/(1-I6^(K2+1))))</f>
        <v>4.8749999999999991</v>
      </c>
      <c r="D24" s="3"/>
      <c r="E24" s="3"/>
      <c r="F24" s="3"/>
      <c r="G24" s="3"/>
      <c r="I24" s="3" t="s">
        <v>26</v>
      </c>
      <c r="J24" s="3"/>
      <c r="K24" s="8">
        <f>C25-(1/I5)</f>
        <v>0.32307692307692309</v>
      </c>
      <c r="L24" s="7" t="s">
        <v>24</v>
      </c>
      <c r="M24" s="7" t="s">
        <v>14</v>
      </c>
      <c r="N24" s="8">
        <f>K24*60</f>
        <v>19.384615384615387</v>
      </c>
      <c r="O24" s="7" t="s">
        <v>25</v>
      </c>
      <c r="P24" s="3"/>
    </row>
    <row r="25" spans="2:19" x14ac:dyDescent="0.25">
      <c r="B25" s="3" t="s">
        <v>23</v>
      </c>
      <c r="C25" s="6">
        <f>R17/C24</f>
        <v>0.52307692307692311</v>
      </c>
      <c r="D25" s="4" t="s">
        <v>24</v>
      </c>
      <c r="E25" s="4" t="s">
        <v>14</v>
      </c>
      <c r="F25" s="6">
        <f>C25*60</f>
        <v>31.384615384615387</v>
      </c>
      <c r="G25" s="4" t="s">
        <v>25</v>
      </c>
      <c r="I25" s="18" t="s">
        <v>32</v>
      </c>
      <c r="J25" s="18"/>
      <c r="K25" s="18"/>
      <c r="L25" s="18"/>
      <c r="M25" s="18"/>
      <c r="N25" s="18"/>
      <c r="O25" s="18"/>
      <c r="P25" s="18"/>
    </row>
    <row r="26" spans="2:19" x14ac:dyDescent="0.25">
      <c r="B26" s="18" t="s">
        <v>31</v>
      </c>
      <c r="C26" s="18"/>
      <c r="D26" s="18"/>
      <c r="E26" s="18"/>
      <c r="F26" s="18"/>
      <c r="G26" s="18"/>
    </row>
    <row r="29" spans="2:19" x14ac:dyDescent="0.25">
      <c r="B29" s="2" t="s">
        <v>5</v>
      </c>
      <c r="C29" s="3"/>
      <c r="D29" s="9"/>
      <c r="E29" s="3"/>
    </row>
    <row r="30" spans="2:19" x14ac:dyDescent="0.25">
      <c r="B30" s="3" t="s">
        <v>27</v>
      </c>
      <c r="C30" s="4">
        <f>C24*K24</f>
        <v>1.5749999999999997</v>
      </c>
      <c r="D30" s="10" t="s">
        <v>28</v>
      </c>
      <c r="E30" s="3"/>
    </row>
    <row r="31" spans="2:19" x14ac:dyDescent="0.25">
      <c r="B31" s="18" t="s">
        <v>33</v>
      </c>
      <c r="C31" s="18"/>
      <c r="D31" s="18"/>
      <c r="E31" s="18"/>
    </row>
    <row r="32" spans="2:19" x14ac:dyDescent="0.25">
      <c r="F32" s="1"/>
      <c r="G32" s="1"/>
      <c r="H32" s="1"/>
      <c r="I32" s="1"/>
    </row>
    <row r="34" spans="8:8" x14ac:dyDescent="0.25">
      <c r="H34" s="1"/>
    </row>
  </sheetData>
  <mergeCells count="19">
    <mergeCell ref="B26:G26"/>
    <mergeCell ref="I17:I18"/>
    <mergeCell ref="I19:S19"/>
    <mergeCell ref="B31:E31"/>
    <mergeCell ref="Q17:Q18"/>
    <mergeCell ref="R17:R18"/>
    <mergeCell ref="S17:S18"/>
    <mergeCell ref="I25:P25"/>
    <mergeCell ref="B19:G19"/>
    <mergeCell ref="J13:O13"/>
    <mergeCell ref="K17:K18"/>
    <mergeCell ref="M17:M18"/>
    <mergeCell ref="O17:O18"/>
    <mergeCell ref="N17:N18"/>
    <mergeCell ref="I8:O8"/>
    <mergeCell ref="J9:O9"/>
    <mergeCell ref="J10:O10"/>
    <mergeCell ref="J11:O11"/>
    <mergeCell ref="J12:O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JavierMonjes</dc:creator>
  <cp:lastModifiedBy>Javier Monjes</cp:lastModifiedBy>
  <dcterms:created xsi:type="dcterms:W3CDTF">2024-06-10T14:31:05Z</dcterms:created>
  <dcterms:modified xsi:type="dcterms:W3CDTF">2024-12-10T14:18:54Z</dcterms:modified>
</cp:coreProperties>
</file>