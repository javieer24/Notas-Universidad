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Escritorio\Users\U\Estudio\USAC\Semestres\2024\VacasDic\Io2\P2\"/>
    </mc:Choice>
  </mc:AlternateContent>
  <xr:revisionPtr revIDLastSave="0" documentId="8_{D82911DC-EEB9-458C-BD16-9118D62033F9}" xr6:coauthVersionLast="47" xr6:coauthVersionMax="47" xr10:uidLastSave="{00000000-0000-0000-0000-000000000000}"/>
  <bookViews>
    <workbookView xWindow="-120" yWindow="-120" windowWidth="29040" windowHeight="16440" xr2:uid="{AED239B4-7901-428A-9D00-33FDC4ECF6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1" l="1"/>
  <c r="N22" i="1"/>
  <c r="C18" i="1" a="1"/>
  <c r="C18" i="1" s="1"/>
  <c r="H18" i="1" s="1" a="1"/>
  <c r="H18" i="1" s="1"/>
  <c r="N15" i="1" s="1" a="1"/>
  <c r="N15" i="1" s="1"/>
  <c r="M21" i="1" s="1"/>
  <c r="Q9" i="1"/>
  <c r="Q8" i="1"/>
  <c r="Q7" i="1"/>
  <c r="Q6" i="1"/>
  <c r="Q5" i="1"/>
  <c r="E25" i="1" l="1"/>
  <c r="E23" i="1"/>
  <c r="M20" i="1"/>
  <c r="N20" i="1" s="1"/>
  <c r="E24" i="1"/>
  <c r="M2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<sst xmlns="http://schemas.openxmlformats.org/spreadsheetml/2006/main" count="29" uniqueCount="19">
  <si>
    <t>Futuro</t>
  </si>
  <si>
    <t>Q</t>
  </si>
  <si>
    <t>I</t>
  </si>
  <si>
    <t>1er</t>
  </si>
  <si>
    <t>Actual</t>
  </si>
  <si>
    <t>2do</t>
  </si>
  <si>
    <t>3er</t>
  </si>
  <si>
    <t>Graduarse</t>
  </si>
  <si>
    <t>(I-Q)</t>
  </si>
  <si>
    <t>(I-Q)^-1</t>
  </si>
  <si>
    <t>Fase 1</t>
  </si>
  <si>
    <t>Fase 2</t>
  </si>
  <si>
    <t>Fase 3</t>
  </si>
  <si>
    <t>Retirarse</t>
  </si>
  <si>
    <t>Verosimilitud</t>
  </si>
  <si>
    <t>Respuestas</t>
  </si>
  <si>
    <t>A)</t>
  </si>
  <si>
    <t>B)</t>
  </si>
  <si>
    <t>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</si>
</sst>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2" formatCode="_-* #,##0.0000000000_-;\-* #,##0.0000000000_-;_-* &quot;-&quot;??_-;_-@_-"/>
    <numFmt numFmtId="177" formatCode="0.0000000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agona Book"/>
      <family val="1"/>
    </font>
    <font>
      <sz val="14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2" fontId="4" fillId="3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2" fontId="4" fillId="8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2" fillId="0" borderId="0" xfId="0" applyFont="1" applyAlignment="1">
      <alignment wrapText="1"/>
    </xf>
    <xf numFmtId="2" fontId="4" fillId="7" borderId="1" xfId="0" applyNumberFormat="1" applyFont="1" applyFill="1" applyBorder="1" applyAlignment="1">
      <alignment horizontal="center"/>
    </xf>
    <xf numFmtId="0" fontId="7" fillId="0" borderId="1" xfId="0" applyFont="1" applyBorder="1"/>
    <xf numFmtId="2" fontId="7" fillId="0" borderId="1" xfId="0" applyNumberFormat="1" applyFont="1" applyBorder="1" applyAlignment="1">
      <alignment horizontal="center"/>
    </xf>
    <xf numFmtId="172" fontId="7" fillId="2" borderId="1" xfId="1" applyNumberFormat="1" applyFont="1" applyFill="1" applyBorder="1" applyAlignment="1">
      <alignment horizontal="center" vertical="center"/>
    </xf>
    <xf numFmtId="177" fontId="7" fillId="9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72" fontId="0" fillId="11" borderId="1" xfId="0" applyNumberFormat="1" applyFill="1" applyBorder="1" applyAlignment="1">
      <alignment horizontal="center"/>
    </xf>
    <xf numFmtId="9" fontId="0" fillId="11" borderId="1" xfId="2" applyFont="1" applyFill="1" applyBorder="1" applyAlignment="1">
      <alignment horizontal="center"/>
    </xf>
    <xf numFmtId="177" fontId="0" fillId="11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763014</xdr:colOff>
      <xdr:row>11</xdr:row>
      <xdr:rowOff>181326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E93FDDE-9BF3-6A28-E652-7F4EAF385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268589" cy="25149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A295-FB3A-429F-BF00-13F172AF452F}">
  <dimension ref="A3:Q29"/>
  <sheetViews>
    <sheetView tabSelected="1" workbookViewId="0">
      <selection activeCell="O22" sqref="O22"/>
    </sheetView>
  </sheetViews>
  <sheetFormatPr baseColWidth="10" defaultRowHeight="15" x14ac:dyDescent="0.25"/>
  <cols>
    <col min="5" max="5" width="13" customWidth="1"/>
    <col min="8" max="8" width="16" bestFit="1" customWidth="1"/>
    <col min="9" max="9" width="21" bestFit="1" customWidth="1"/>
    <col min="13" max="13" width="14" bestFit="1" customWidth="1"/>
    <col min="14" max="14" width="22.7109375" customWidth="1"/>
    <col min="15" max="15" width="24.28515625" customWidth="1"/>
  </cols>
  <sheetData>
    <row r="3" spans="1:17" x14ac:dyDescent="0.25">
      <c r="K3" s="23" t="s">
        <v>0</v>
      </c>
      <c r="L3" s="23"/>
      <c r="M3" s="23"/>
      <c r="N3" s="23"/>
      <c r="O3" s="23"/>
    </row>
    <row r="4" spans="1:17" x14ac:dyDescent="0.25">
      <c r="K4" s="4"/>
      <c r="L4" s="5" t="s">
        <v>3</v>
      </c>
      <c r="M4" s="5" t="s">
        <v>5</v>
      </c>
      <c r="N4" s="5" t="s">
        <v>6</v>
      </c>
      <c r="O4" s="5" t="s">
        <v>13</v>
      </c>
      <c r="P4" s="5" t="s">
        <v>7</v>
      </c>
    </row>
    <row r="5" spans="1:17" ht="18.75" x14ac:dyDescent="0.3">
      <c r="K5" s="6" t="s">
        <v>3</v>
      </c>
      <c r="L5" s="7">
        <v>0.44</v>
      </c>
      <c r="M5" s="7">
        <v>0.23</v>
      </c>
      <c r="N5" s="7">
        <v>0</v>
      </c>
      <c r="O5" s="8">
        <v>0.33</v>
      </c>
      <c r="P5" s="8">
        <v>0</v>
      </c>
      <c r="Q5" s="15">
        <f>L5+M5+N5+O5+P5</f>
        <v>1</v>
      </c>
    </row>
    <row r="6" spans="1:17" ht="18.75" x14ac:dyDescent="0.3">
      <c r="J6" s="22" t="s">
        <v>4</v>
      </c>
      <c r="K6" s="6" t="s">
        <v>5</v>
      </c>
      <c r="L6" s="7">
        <v>0</v>
      </c>
      <c r="M6" s="7">
        <v>0.15</v>
      </c>
      <c r="N6" s="7">
        <v>0.8</v>
      </c>
      <c r="O6" s="8">
        <v>0.05</v>
      </c>
      <c r="P6" s="8">
        <v>0</v>
      </c>
      <c r="Q6" s="15">
        <f>L6+M6+N6+O6+P6</f>
        <v>1</v>
      </c>
    </row>
    <row r="7" spans="1:17" ht="18.75" x14ac:dyDescent="0.3">
      <c r="J7" s="22"/>
      <c r="K7" s="6" t="s">
        <v>6</v>
      </c>
      <c r="L7" s="7">
        <v>0</v>
      </c>
      <c r="M7" s="7">
        <v>0</v>
      </c>
      <c r="N7" s="7">
        <v>0.43</v>
      </c>
      <c r="O7" s="8">
        <v>0</v>
      </c>
      <c r="P7" s="8">
        <v>0.56999999999999995</v>
      </c>
      <c r="Q7" s="15">
        <f>L7+M7+N7+O7+P7</f>
        <v>1</v>
      </c>
    </row>
    <row r="8" spans="1:17" ht="18.75" x14ac:dyDescent="0.3">
      <c r="J8" s="22"/>
      <c r="K8" s="6" t="s">
        <v>13</v>
      </c>
      <c r="L8" s="9">
        <v>0</v>
      </c>
      <c r="M8" s="9">
        <v>0</v>
      </c>
      <c r="N8" s="9">
        <v>0</v>
      </c>
      <c r="O8" s="10">
        <v>1</v>
      </c>
      <c r="P8" s="10">
        <v>0</v>
      </c>
      <c r="Q8" s="15">
        <f>L8+M8+N8+O8+P8</f>
        <v>1</v>
      </c>
    </row>
    <row r="9" spans="1:17" ht="18.75" x14ac:dyDescent="0.3">
      <c r="J9" s="22"/>
      <c r="K9" s="6" t="s">
        <v>7</v>
      </c>
      <c r="L9" s="9">
        <v>0</v>
      </c>
      <c r="M9" s="9">
        <v>0</v>
      </c>
      <c r="N9" s="9">
        <v>0</v>
      </c>
      <c r="O9" s="10">
        <v>0</v>
      </c>
      <c r="P9" s="10">
        <v>1</v>
      </c>
      <c r="Q9" s="15">
        <f>L9+M9+N9+O9+P9</f>
        <v>1</v>
      </c>
    </row>
    <row r="14" spans="1:17" ht="18.75" x14ac:dyDescent="0.3">
      <c r="B14" s="2" t="s">
        <v>1</v>
      </c>
      <c r="C14" s="7">
        <v>0.44</v>
      </c>
      <c r="D14" s="7">
        <v>0.23</v>
      </c>
      <c r="E14" s="7">
        <v>0</v>
      </c>
      <c r="G14" t="s">
        <v>2</v>
      </c>
      <c r="H14" s="10">
        <v>1</v>
      </c>
      <c r="I14" s="10">
        <v>0</v>
      </c>
      <c r="J14" s="11">
        <v>0</v>
      </c>
      <c r="L14" s="4"/>
      <c r="M14" s="4"/>
      <c r="N14" s="16" t="s">
        <v>13</v>
      </c>
      <c r="O14" s="17" t="s">
        <v>7</v>
      </c>
    </row>
    <row r="15" spans="1:17" ht="18.75" x14ac:dyDescent="0.3">
      <c r="A15" s="1"/>
      <c r="B15" s="2"/>
      <c r="C15" s="7">
        <v>0</v>
      </c>
      <c r="D15" s="7">
        <v>0.15</v>
      </c>
      <c r="E15" s="7">
        <v>0.8</v>
      </c>
      <c r="H15" s="10">
        <v>0</v>
      </c>
      <c r="I15" s="10">
        <v>1</v>
      </c>
      <c r="J15" s="11">
        <v>0</v>
      </c>
      <c r="L15" s="4" t="s">
        <v>3</v>
      </c>
      <c r="M15" s="4" t="s">
        <v>10</v>
      </c>
      <c r="N15" s="19" cm="1">
        <f t="array" ref="N15:O17">MMULT(_xlfn.ANCHORARRAY(H18),O5:P7)</f>
        <v>0.61344537815126055</v>
      </c>
      <c r="O15" s="21">
        <v>0.38655462184873945</v>
      </c>
    </row>
    <row r="16" spans="1:17" ht="18.75" x14ac:dyDescent="0.3">
      <c r="B16" s="2"/>
      <c r="C16" s="7">
        <v>0</v>
      </c>
      <c r="D16" s="7">
        <v>0</v>
      </c>
      <c r="E16" s="7">
        <v>0.43</v>
      </c>
      <c r="H16" s="11">
        <v>0</v>
      </c>
      <c r="I16" s="11">
        <v>0</v>
      </c>
      <c r="J16" s="11">
        <v>1</v>
      </c>
      <c r="L16" s="4" t="s">
        <v>5</v>
      </c>
      <c r="M16" s="4" t="s">
        <v>11</v>
      </c>
      <c r="N16" s="20">
        <v>5.8823529411764712E-2</v>
      </c>
      <c r="O16" s="18">
        <v>0.94117647058823517</v>
      </c>
    </row>
    <row r="17" spans="2:17" ht="15.75" x14ac:dyDescent="0.25">
      <c r="L17" s="4" t="s">
        <v>6</v>
      </c>
      <c r="M17" s="4" t="s">
        <v>12</v>
      </c>
      <c r="N17" s="20">
        <v>0</v>
      </c>
      <c r="O17" s="20">
        <v>0.99999999999999989</v>
      </c>
    </row>
    <row r="18" spans="2:17" ht="19.5" x14ac:dyDescent="0.3">
      <c r="B18" s="2" t="s">
        <v>8</v>
      </c>
      <c r="C18" s="12" cm="1">
        <f t="array" ref="C18:E20">H14:J16-C14:E16</f>
        <v>0.56000000000000005</v>
      </c>
      <c r="D18" s="12">
        <v>-0.23</v>
      </c>
      <c r="E18" s="12">
        <v>0</v>
      </c>
      <c r="G18" s="2" t="s">
        <v>9</v>
      </c>
      <c r="H18" s="13" cm="1">
        <f t="array" ref="H18:J20">MINVERSE(_xlfn.ANCHORARRAY(C18))</f>
        <v>1.7857142857142856</v>
      </c>
      <c r="I18" s="13">
        <v>0.48319327731092437</v>
      </c>
      <c r="J18" s="13">
        <v>0.67816600324340259</v>
      </c>
    </row>
    <row r="19" spans="2:17" ht="19.5" x14ac:dyDescent="0.3">
      <c r="C19" s="12">
        <v>0</v>
      </c>
      <c r="D19" s="12">
        <v>0.85</v>
      </c>
      <c r="E19" s="12">
        <v>-0.8</v>
      </c>
      <c r="H19" s="13">
        <v>0</v>
      </c>
      <c r="I19" s="13">
        <v>1.1764705882352942</v>
      </c>
      <c r="J19" s="13">
        <v>1.6511867905056758</v>
      </c>
      <c r="L19" s="26" t="s">
        <v>15</v>
      </c>
      <c r="M19" s="26"/>
      <c r="N19" s="26"/>
    </row>
    <row r="20" spans="2:17" ht="19.5" x14ac:dyDescent="0.3">
      <c r="C20" s="12">
        <v>0</v>
      </c>
      <c r="D20" s="12">
        <v>0</v>
      </c>
      <c r="E20" s="12">
        <v>0.57000000000000006</v>
      </c>
      <c r="H20" s="13">
        <v>0</v>
      </c>
      <c r="I20" s="13">
        <v>0</v>
      </c>
      <c r="J20" s="13">
        <v>1.7543859649122806</v>
      </c>
      <c r="L20" s="27" t="s">
        <v>16</v>
      </c>
      <c r="M20" s="28">
        <f>O16</f>
        <v>0.94117647058823517</v>
      </c>
      <c r="N20" s="29">
        <f>M20</f>
        <v>0.94117647058823517</v>
      </c>
    </row>
    <row r="21" spans="2:17" x14ac:dyDescent="0.25">
      <c r="L21" s="27" t="s">
        <v>17</v>
      </c>
      <c r="M21" s="30">
        <f>N15</f>
        <v>0.61344537815126055</v>
      </c>
      <c r="N21" s="29">
        <f t="shared" ref="N21:N22" si="0">M21</f>
        <v>0.61344537815126055</v>
      </c>
    </row>
    <row r="22" spans="2:17" x14ac:dyDescent="0.25">
      <c r="E22" s="24" t="s">
        <v>14</v>
      </c>
      <c r="L22" s="27" t="s">
        <v>18</v>
      </c>
      <c r="M22" s="31">
        <f>E24</f>
        <v>6.2500000000000014E-2</v>
      </c>
      <c r="N22" s="29">
        <f t="shared" si="0"/>
        <v>6.2500000000000014E-2</v>
      </c>
    </row>
    <row r="23" spans="2:17" x14ac:dyDescent="0.25">
      <c r="E23" s="24">
        <f>N15/O15</f>
        <v>1.5869565217391306</v>
      </c>
    </row>
    <row r="24" spans="2:17" x14ac:dyDescent="0.25">
      <c r="E24" s="25">
        <f t="shared" ref="E24:E25" si="1">N16/O16</f>
        <v>6.2500000000000014E-2</v>
      </c>
    </row>
    <row r="25" spans="2:17" x14ac:dyDescent="0.25">
      <c r="E25" s="24">
        <f t="shared" si="1"/>
        <v>0</v>
      </c>
    </row>
    <row r="26" spans="2:17" ht="17.25" x14ac:dyDescent="0.3">
      <c r="L26" s="3"/>
      <c r="M26" s="3"/>
    </row>
    <row r="27" spans="2:17" ht="18.75" customHeight="1" x14ac:dyDescent="0.3">
      <c r="M27" s="2"/>
      <c r="O27" s="14"/>
      <c r="P27" s="14"/>
      <c r="Q27" s="14"/>
    </row>
    <row r="28" spans="2:17" ht="18.75" x14ac:dyDescent="0.3">
      <c r="M28" s="2"/>
      <c r="O28" s="14"/>
      <c r="P28" s="14"/>
      <c r="Q28" s="14"/>
    </row>
    <row r="29" spans="2:17" ht="18.75" x14ac:dyDescent="0.3">
      <c r="M29" s="2"/>
    </row>
  </sheetData>
  <mergeCells count="3">
    <mergeCell ref="K3:O3"/>
    <mergeCell ref="J6:J9"/>
    <mergeCell ref="L19:N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Monjes</dc:creator>
  <cp:lastModifiedBy>Javier Monjes</cp:lastModifiedBy>
  <dcterms:created xsi:type="dcterms:W3CDTF">2024-12-18T13:53:51Z</dcterms:created>
  <dcterms:modified xsi:type="dcterms:W3CDTF">2024-12-18T14:13:54Z</dcterms:modified>
</cp:coreProperties>
</file>