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Escritorio\Users\U\Estudio\USAC\Semestres\2024\VacasDic\Io2\P2\"/>
    </mc:Choice>
  </mc:AlternateContent>
  <xr:revisionPtr revIDLastSave="0" documentId="13_ncr:1_{F635086C-87F9-401F-984E-B808448A746A}" xr6:coauthVersionLast="47" xr6:coauthVersionMax="47" xr10:uidLastSave="{00000000-0000-0000-0000-000000000000}"/>
  <bookViews>
    <workbookView xWindow="-120" yWindow="-120" windowWidth="29040" windowHeight="16440" xr2:uid="{219C08F6-A9A5-4079-9DDC-9212A643AC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6" i="1"/>
  <c r="H35" i="1"/>
  <c r="M32" i="1"/>
  <c r="M31" i="1"/>
  <c r="H29" i="1" a="1"/>
  <c r="H29" i="1" s="1"/>
  <c r="B31" i="1" a="1"/>
  <c r="B31" i="1" s="1"/>
  <c r="D25" i="1" l="1"/>
  <c r="E25" i="1"/>
  <c r="C25" i="1"/>
  <c r="H8" i="1"/>
  <c r="H13" i="1" s="1"/>
  <c r="H18" i="1" s="1"/>
  <c r="H23" i="1" s="1"/>
  <c r="I9" i="1" a="1"/>
  <c r="J11" i="1" s="1"/>
  <c r="L6" i="1"/>
  <c r="L5" i="1"/>
  <c r="L4" i="1"/>
  <c r="K11" i="1" l="1"/>
  <c r="I9" i="1"/>
  <c r="J9" i="1"/>
  <c r="K9" i="1"/>
  <c r="I10" i="1"/>
  <c r="K10" i="1"/>
  <c r="J10" i="1"/>
  <c r="I11" i="1"/>
  <c r="I14" i="1" l="1" a="1"/>
  <c r="K16" i="1" s="1"/>
  <c r="L11" i="1"/>
  <c r="L9" i="1"/>
  <c r="L10" i="1"/>
  <c r="I15" i="1" l="1"/>
  <c r="K14" i="1"/>
  <c r="J14" i="1"/>
  <c r="J15" i="1"/>
  <c r="K15" i="1"/>
  <c r="I16" i="1"/>
  <c r="I14" i="1"/>
  <c r="J16" i="1"/>
  <c r="L14" i="1" l="1"/>
  <c r="L15" i="1"/>
  <c r="L16" i="1"/>
  <c r="I19" i="1" a="1"/>
  <c r="K20" i="1" l="1"/>
  <c r="I21" i="1"/>
  <c r="J19" i="1"/>
  <c r="I19" i="1"/>
  <c r="K21" i="1"/>
  <c r="J20" i="1"/>
  <c r="K19" i="1"/>
  <c r="J21" i="1"/>
  <c r="I20" i="1"/>
  <c r="L19" i="1" l="1"/>
  <c r="L21" i="1"/>
  <c r="I24" i="1" a="1"/>
  <c r="L20" i="1"/>
  <c r="J24" i="1" l="1"/>
  <c r="I24" i="1"/>
  <c r="K24" i="1"/>
  <c r="I25" i="1"/>
  <c r="J25" i="1"/>
  <c r="K25" i="1"/>
  <c r="I26" i="1"/>
  <c r="J26" i="1"/>
  <c r="K26" i="1"/>
  <c r="L26" i="1" s="1"/>
  <c r="L24" i="1" l="1"/>
  <c r="L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<sst xmlns="http://schemas.openxmlformats.org/spreadsheetml/2006/main" count="56" uniqueCount="14">
  <si>
    <t>T</t>
  </si>
  <si>
    <t>Preferencias de consumo</t>
  </si>
  <si>
    <t>I</t>
  </si>
  <si>
    <t>Sabemos:</t>
  </si>
  <si>
    <t>Kern´s</t>
  </si>
  <si>
    <t>Del Frutal</t>
  </si>
  <si>
    <t>Petit</t>
  </si>
  <si>
    <t>(I-P)</t>
  </si>
  <si>
    <t>Inversa</t>
  </si>
  <si>
    <t>Vector</t>
  </si>
  <si>
    <t>REPUESTAS</t>
  </si>
  <si>
    <t>Kerns</t>
  </si>
  <si>
    <t>DEL FRUTAL</t>
  </si>
  <si>
    <t>PETIT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</si>
</sst>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0" fontId="4" fillId="0" borderId="0" xfId="0" applyFont="1"/>
    <xf numFmtId="164" fontId="3" fillId="0" borderId="1" xfId="0" applyNumberFormat="1" applyFont="1" applyFill="1" applyBorder="1"/>
    <xf numFmtId="0" fontId="0" fillId="0" borderId="0" xfId="0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165" fontId="3" fillId="0" borderId="0" xfId="0" applyNumberFormat="1" applyFont="1" applyFill="1" applyBorder="1"/>
    <xf numFmtId="164" fontId="3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2" fontId="2" fillId="0" borderId="0" xfId="0" applyNumberFormat="1" applyFont="1" applyFill="1" applyBorder="1"/>
    <xf numFmtId="0" fontId="3" fillId="0" borderId="0" xfId="0" applyFont="1" applyFill="1" applyBorder="1"/>
    <xf numFmtId="2" fontId="2" fillId="0" borderId="0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3" fillId="0" borderId="3" xfId="0" applyNumberFormat="1" applyFont="1" applyBorder="1"/>
    <xf numFmtId="2" fontId="2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1" fontId="3" fillId="0" borderId="0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" fontId="0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0" xfId="0" applyFont="1"/>
    <xf numFmtId="2" fontId="3" fillId="0" borderId="0" xfId="0" applyNumberFormat="1" applyFont="1" applyFill="1" applyBorder="1"/>
    <xf numFmtId="0" fontId="0" fillId="0" borderId="0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164" fontId="6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/>
    <xf numFmtId="164" fontId="1" fillId="4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6</xdr:col>
      <xdr:colOff>387714</xdr:colOff>
      <xdr:row>13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6CF416-D709-CFE1-A8B4-DE9AB7B1E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14300"/>
          <a:ext cx="5283564" cy="263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8009-3FFA-43BE-ABBC-C5B469B7931B}">
  <dimension ref="A1:T1000"/>
  <sheetViews>
    <sheetView tabSelected="1" topLeftCell="A6" zoomScale="130" zoomScaleNormal="130" workbookViewId="0">
      <selection activeCell="M29" sqref="M29:M33"/>
    </sheetView>
  </sheetViews>
  <sheetFormatPr baseColWidth="10" defaultColWidth="12.5703125" defaultRowHeight="15" x14ac:dyDescent="0.25"/>
  <cols>
    <col min="6" max="6" width="12.5703125" customWidth="1"/>
  </cols>
  <sheetData>
    <row r="1" spans="1:20" ht="15.75" customHeight="1" x14ac:dyDescent="0.25"/>
    <row r="2" spans="1:20" ht="15.75" customHeight="1" x14ac:dyDescent="0.3">
      <c r="A2" s="10"/>
      <c r="B2" s="11"/>
      <c r="C2" s="10"/>
      <c r="D2" s="10"/>
      <c r="E2" s="10"/>
      <c r="F2" s="10"/>
      <c r="H2" s="8" t="s">
        <v>1</v>
      </c>
      <c r="N2" s="10"/>
      <c r="O2" s="11"/>
      <c r="P2" s="10"/>
      <c r="Q2" s="10"/>
      <c r="R2" s="10"/>
      <c r="S2" s="10"/>
      <c r="T2" s="10"/>
    </row>
    <row r="3" spans="1:20" ht="15.75" customHeight="1" x14ac:dyDescent="0.25">
      <c r="A3" s="17"/>
      <c r="B3" s="12"/>
      <c r="C3" s="13"/>
      <c r="D3" s="13"/>
      <c r="E3" s="10"/>
      <c r="F3" s="10"/>
      <c r="G3" s="1"/>
      <c r="H3" s="2">
        <v>1</v>
      </c>
      <c r="I3" s="3" t="s">
        <v>4</v>
      </c>
      <c r="J3" s="3" t="s">
        <v>5</v>
      </c>
      <c r="K3" s="3" t="s">
        <v>6</v>
      </c>
      <c r="N3" s="17"/>
      <c r="O3" s="12"/>
      <c r="P3" s="13"/>
      <c r="Q3" s="13"/>
      <c r="R3" s="13"/>
      <c r="S3" s="13"/>
      <c r="T3" s="10"/>
    </row>
    <row r="4" spans="1:20" ht="15.75" customHeight="1" x14ac:dyDescent="0.25">
      <c r="A4" s="13"/>
      <c r="B4" s="13"/>
      <c r="C4" s="14"/>
      <c r="D4" s="14"/>
      <c r="E4" s="18"/>
      <c r="F4" s="10"/>
      <c r="G4" s="4"/>
      <c r="H4" s="5" t="s">
        <v>4</v>
      </c>
      <c r="I4" s="6">
        <v>0.53</v>
      </c>
      <c r="J4" s="6">
        <v>0.29399999999999998</v>
      </c>
      <c r="K4" s="22">
        <v>0.17599999999999999</v>
      </c>
      <c r="L4" s="23">
        <f t="shared" ref="L4:L6" si="0">K4+J4+I4</f>
        <v>1</v>
      </c>
      <c r="N4" s="13"/>
      <c r="O4" s="13"/>
      <c r="P4" s="15"/>
      <c r="Q4" s="15"/>
      <c r="R4" s="15"/>
      <c r="S4" s="15"/>
      <c r="T4" s="18"/>
    </row>
    <row r="5" spans="1:20" ht="15.75" customHeight="1" x14ac:dyDescent="0.25">
      <c r="A5" s="13"/>
      <c r="B5" s="13"/>
      <c r="C5" s="14"/>
      <c r="D5" s="14"/>
      <c r="E5" s="18"/>
      <c r="F5" s="10"/>
      <c r="G5" s="4"/>
      <c r="H5" s="5" t="s">
        <v>5</v>
      </c>
      <c r="I5" s="6">
        <v>0.16700000000000001</v>
      </c>
      <c r="J5" s="6">
        <v>0.66700000000000004</v>
      </c>
      <c r="K5" s="22">
        <v>0.16600000000000001</v>
      </c>
      <c r="L5" s="23">
        <f t="shared" si="0"/>
        <v>1</v>
      </c>
      <c r="N5" s="13"/>
      <c r="O5" s="13"/>
      <c r="P5" s="15"/>
      <c r="Q5" s="15"/>
      <c r="R5" s="15"/>
      <c r="S5" s="15"/>
      <c r="T5" s="18"/>
    </row>
    <row r="6" spans="1:20" ht="15.75" customHeight="1" x14ac:dyDescent="0.25">
      <c r="A6" s="10"/>
      <c r="B6" s="10"/>
      <c r="C6" s="13"/>
      <c r="D6" s="13"/>
      <c r="E6" s="13"/>
      <c r="F6" s="10"/>
      <c r="H6" s="5" t="s">
        <v>6</v>
      </c>
      <c r="I6" s="6">
        <v>0.17399999999999999</v>
      </c>
      <c r="J6" s="6">
        <v>0.13</v>
      </c>
      <c r="K6" s="22">
        <v>0.69599999999999995</v>
      </c>
      <c r="L6" s="23">
        <f t="shared" si="0"/>
        <v>1</v>
      </c>
      <c r="N6" s="10"/>
      <c r="O6" s="13"/>
      <c r="P6" s="15"/>
      <c r="Q6" s="15"/>
      <c r="R6" s="15"/>
      <c r="S6" s="15"/>
      <c r="T6" s="18"/>
    </row>
    <row r="7" spans="1:20" ht="15.75" customHeight="1" x14ac:dyDescent="0.25">
      <c r="A7" s="17"/>
      <c r="B7" s="12"/>
      <c r="C7" s="13"/>
      <c r="D7" s="13"/>
      <c r="E7" s="13"/>
      <c r="F7" s="10"/>
      <c r="L7" s="4"/>
      <c r="N7" s="10"/>
      <c r="P7" s="15"/>
      <c r="Q7" s="15"/>
      <c r="R7" s="15"/>
      <c r="S7" s="15"/>
      <c r="T7" s="18"/>
    </row>
    <row r="8" spans="1:20" ht="15.75" customHeight="1" x14ac:dyDescent="0.25">
      <c r="A8" s="13"/>
      <c r="B8" s="13"/>
      <c r="C8" s="14"/>
      <c r="D8" s="14"/>
      <c r="E8" s="18"/>
      <c r="F8" s="10"/>
      <c r="G8" s="1" t="s">
        <v>0</v>
      </c>
      <c r="H8" s="2">
        <f>H3+1</f>
        <v>2</v>
      </c>
      <c r="I8" s="3" t="s">
        <v>4</v>
      </c>
      <c r="J8" s="3" t="s">
        <v>5</v>
      </c>
      <c r="K8" s="3" t="s">
        <v>6</v>
      </c>
      <c r="L8" s="4"/>
      <c r="N8" s="13"/>
      <c r="O8" s="10"/>
      <c r="P8" s="10"/>
      <c r="Q8" s="10"/>
      <c r="R8" s="10"/>
      <c r="S8" s="10"/>
      <c r="T8" s="10"/>
    </row>
    <row r="9" spans="1:20" ht="15.75" customHeight="1" x14ac:dyDescent="0.25">
      <c r="A9" s="13"/>
      <c r="B9" s="13"/>
      <c r="C9" s="14"/>
      <c r="D9" s="14"/>
      <c r="E9" s="18"/>
      <c r="F9" s="10"/>
      <c r="G9" s="4"/>
      <c r="H9" s="5" t="s">
        <v>4</v>
      </c>
      <c r="I9" s="9">
        <f t="array" ref="I9:K11">MMULT(I4:K6,$I$4:$K$6)</f>
        <v>0.360622</v>
      </c>
      <c r="J9" s="21">
        <v>0.37479799999999996</v>
      </c>
      <c r="K9" s="24">
        <v>0.26457999999999998</v>
      </c>
      <c r="L9" s="23">
        <f t="shared" ref="L9:L11" si="1">K9+J9+I9</f>
        <v>1</v>
      </c>
      <c r="N9" s="17"/>
      <c r="O9" s="12"/>
      <c r="P9" s="13"/>
      <c r="Q9" s="13"/>
      <c r="R9" s="13"/>
      <c r="S9" s="13"/>
      <c r="T9" s="10"/>
    </row>
    <row r="10" spans="1:20" ht="15.75" customHeight="1" x14ac:dyDescent="0.25">
      <c r="A10" s="10"/>
      <c r="B10" s="10"/>
      <c r="C10" s="10"/>
      <c r="D10" s="10"/>
      <c r="E10" s="13"/>
      <c r="F10" s="10"/>
      <c r="G10" s="4"/>
      <c r="H10" s="5" t="s">
        <v>5</v>
      </c>
      <c r="I10" s="9">
        <v>0.22878300000000001</v>
      </c>
      <c r="J10" s="21">
        <v>0.51556700000000011</v>
      </c>
      <c r="K10" s="24">
        <v>0.25565000000000004</v>
      </c>
      <c r="L10" s="23">
        <f t="shared" si="1"/>
        <v>1.0000000000000002</v>
      </c>
      <c r="N10" s="13"/>
      <c r="O10" s="13"/>
      <c r="P10" s="15"/>
      <c r="Q10" s="15"/>
      <c r="R10" s="15"/>
      <c r="S10" s="15"/>
      <c r="T10" s="18"/>
    </row>
    <row r="11" spans="1:20" ht="15.75" customHeight="1" x14ac:dyDescent="0.25">
      <c r="A11" s="17"/>
      <c r="B11" s="12"/>
      <c r="C11" s="13"/>
      <c r="D11" s="13"/>
      <c r="E11" s="13"/>
      <c r="F11" s="10"/>
      <c r="H11" s="5" t="s">
        <v>6</v>
      </c>
      <c r="I11" s="6">
        <v>0.23503399999999999</v>
      </c>
      <c r="J11" s="7">
        <v>0.22834599999999999</v>
      </c>
      <c r="K11" s="22">
        <v>0.53661999999999999</v>
      </c>
      <c r="L11" s="23">
        <f t="shared" si="1"/>
        <v>1</v>
      </c>
      <c r="N11" s="13"/>
      <c r="O11" s="13"/>
      <c r="P11" s="15"/>
      <c r="Q11" s="15"/>
      <c r="R11" s="15"/>
      <c r="S11" s="15"/>
      <c r="T11" s="18"/>
    </row>
    <row r="12" spans="1:20" ht="15.75" customHeight="1" x14ac:dyDescent="0.25">
      <c r="A12" s="13"/>
      <c r="B12" s="13"/>
      <c r="C12" s="15"/>
      <c r="D12" s="15"/>
      <c r="E12" s="18"/>
      <c r="F12" s="10"/>
      <c r="L12" s="4"/>
      <c r="N12" s="10"/>
      <c r="O12" s="13"/>
      <c r="P12" s="15"/>
      <c r="Q12" s="15"/>
      <c r="R12" s="15"/>
      <c r="S12" s="15"/>
      <c r="T12" s="18"/>
    </row>
    <row r="13" spans="1:20" ht="15.75" customHeight="1" x14ac:dyDescent="0.25">
      <c r="A13" s="13"/>
      <c r="B13" s="13"/>
      <c r="C13" s="15"/>
      <c r="D13" s="15"/>
      <c r="E13" s="18"/>
      <c r="F13" s="10"/>
      <c r="G13" s="1" t="s">
        <v>0</v>
      </c>
      <c r="H13" s="2">
        <f>H8+1</f>
        <v>3</v>
      </c>
      <c r="I13" s="3" t="s">
        <v>4</v>
      </c>
      <c r="J13" s="3" t="s">
        <v>5</v>
      </c>
      <c r="K13" s="3" t="s">
        <v>6</v>
      </c>
      <c r="L13" s="4"/>
      <c r="N13" s="10"/>
      <c r="O13" s="13"/>
      <c r="P13" s="15"/>
      <c r="Q13" s="15"/>
      <c r="R13" s="15"/>
      <c r="S13" s="15"/>
      <c r="T13" s="18"/>
    </row>
    <row r="14" spans="1:20" ht="15.75" customHeight="1" x14ac:dyDescent="0.25">
      <c r="A14" s="10"/>
      <c r="B14" s="10"/>
      <c r="C14" s="10"/>
      <c r="D14" s="10"/>
      <c r="E14" s="13"/>
      <c r="F14" s="10"/>
      <c r="G14" s="4"/>
      <c r="H14" s="5" t="s">
        <v>4</v>
      </c>
      <c r="I14" s="21">
        <f t="array" ref="I14:K16">MMULT(I9:K11,$I$4:$K$6)</f>
        <v>0.29975784599999999</v>
      </c>
      <c r="J14" s="9">
        <v>0.39040853400000003</v>
      </c>
      <c r="K14" s="24">
        <v>0.30983361999999998</v>
      </c>
      <c r="L14" s="23">
        <f t="shared" ref="L14:L16" si="2">K14+J14+I14</f>
        <v>1</v>
      </c>
      <c r="N14" s="10"/>
      <c r="O14" s="10"/>
      <c r="P14" s="10"/>
      <c r="Q14" s="10"/>
      <c r="R14" s="10"/>
      <c r="S14" s="10"/>
      <c r="T14" s="10"/>
    </row>
    <row r="15" spans="1:20" ht="15.75" customHeight="1" x14ac:dyDescent="0.25">
      <c r="A15" s="17"/>
      <c r="B15" s="12" t="s">
        <v>3</v>
      </c>
      <c r="C15" s="13"/>
      <c r="D15" s="13"/>
      <c r="E15" s="13"/>
      <c r="F15" s="10"/>
      <c r="G15" s="4"/>
      <c r="H15" s="5" t="s">
        <v>5</v>
      </c>
      <c r="I15" s="7">
        <v>0.25183777900000004</v>
      </c>
      <c r="J15" s="6">
        <v>0.44437989100000008</v>
      </c>
      <c r="K15" s="22">
        <v>0.30378233000000004</v>
      </c>
      <c r="L15" s="23">
        <f t="shared" si="2"/>
        <v>1</v>
      </c>
      <c r="N15" s="17"/>
      <c r="O15" s="12"/>
      <c r="P15" s="13"/>
      <c r="Q15" s="13"/>
      <c r="R15" s="13"/>
      <c r="S15" s="13"/>
      <c r="T15" s="10"/>
    </row>
    <row r="16" spans="1:20" ht="15.75" customHeight="1" x14ac:dyDescent="0.25">
      <c r="A16" s="13"/>
      <c r="B16" s="13"/>
      <c r="C16" s="3" t="s">
        <v>4</v>
      </c>
      <c r="D16" s="3" t="s">
        <v>5</v>
      </c>
      <c r="E16" s="3" t="s">
        <v>6</v>
      </c>
      <c r="F16" s="10"/>
      <c r="H16" s="5" t="s">
        <v>6</v>
      </c>
      <c r="I16" s="7">
        <v>0.25607368200000002</v>
      </c>
      <c r="J16" s="6">
        <v>0.29116737800000003</v>
      </c>
      <c r="K16" s="22">
        <v>0.45275893999999994</v>
      </c>
      <c r="L16" s="23">
        <f t="shared" si="2"/>
        <v>1</v>
      </c>
      <c r="N16" s="13"/>
      <c r="O16" s="13"/>
      <c r="P16" s="15"/>
      <c r="Q16" s="15"/>
      <c r="R16" s="15"/>
      <c r="S16" s="15"/>
      <c r="T16" s="18"/>
    </row>
    <row r="17" spans="1:20" ht="15.75" customHeight="1" x14ac:dyDescent="0.25">
      <c r="A17" s="13"/>
      <c r="B17" s="5" t="s">
        <v>4</v>
      </c>
      <c r="C17" s="6">
        <v>0.53</v>
      </c>
      <c r="D17" s="6">
        <v>0.29399999999999998</v>
      </c>
      <c r="E17" s="6">
        <v>0.17599999999999999</v>
      </c>
      <c r="F17" s="10"/>
      <c r="L17" s="4"/>
      <c r="N17" s="13"/>
      <c r="O17" s="13"/>
      <c r="P17" s="15"/>
      <c r="Q17" s="15"/>
      <c r="R17" s="15"/>
      <c r="S17" s="15"/>
      <c r="T17" s="18"/>
    </row>
    <row r="18" spans="1:20" ht="15.75" customHeight="1" x14ac:dyDescent="0.25">
      <c r="A18" s="10"/>
      <c r="B18" s="5" t="s">
        <v>5</v>
      </c>
      <c r="C18" s="6">
        <v>0.16700000000000001</v>
      </c>
      <c r="D18" s="6">
        <v>0.66700000000000004</v>
      </c>
      <c r="E18" s="6">
        <v>0.16600000000000001</v>
      </c>
      <c r="F18" s="10"/>
      <c r="G18" s="1" t="s">
        <v>0</v>
      </c>
      <c r="H18" s="2">
        <f>H13+1</f>
        <v>4</v>
      </c>
      <c r="I18" s="3" t="s">
        <v>4</v>
      </c>
      <c r="J18" s="3" t="s">
        <v>5</v>
      </c>
      <c r="K18" s="3" t="s">
        <v>6</v>
      </c>
      <c r="L18" s="4"/>
      <c r="N18" s="10"/>
      <c r="O18" s="13"/>
      <c r="P18" s="15"/>
      <c r="Q18" s="15"/>
      <c r="R18" s="15"/>
      <c r="S18" s="15"/>
      <c r="T18" s="18"/>
    </row>
    <row r="19" spans="1:20" ht="15.75" customHeight="1" x14ac:dyDescent="0.25">
      <c r="A19" s="17"/>
      <c r="B19" s="5" t="s">
        <v>6</v>
      </c>
      <c r="C19" s="6">
        <v>0.17399999999999999</v>
      </c>
      <c r="D19" s="6">
        <v>0.13</v>
      </c>
      <c r="E19" s="6">
        <v>0.69599999999999995</v>
      </c>
      <c r="F19" s="10"/>
      <c r="G19" s="4"/>
      <c r="H19" s="5" t="s">
        <v>4</v>
      </c>
      <c r="I19" s="6">
        <f t="array" ref="I19:K21">MMULT(I14:K16,$I$4:$K$6)</f>
        <v>0.27798093343800001</v>
      </c>
      <c r="J19" s="6">
        <v>0.38880966950200002</v>
      </c>
      <c r="K19" s="22">
        <v>0.33320939705999997</v>
      </c>
      <c r="L19" s="23">
        <f t="shared" ref="L19:L21" si="3">K19+J19+I19</f>
        <v>1</v>
      </c>
      <c r="N19" s="10"/>
      <c r="O19" s="13"/>
      <c r="P19" s="15"/>
      <c r="Q19" s="15"/>
      <c r="R19" s="15"/>
      <c r="S19" s="15"/>
      <c r="T19" s="18"/>
    </row>
    <row r="20" spans="1:20" ht="15.75" customHeight="1" x14ac:dyDescent="0.25">
      <c r="A20" s="19"/>
      <c r="B20" s="13"/>
      <c r="C20" s="16"/>
      <c r="D20" s="16"/>
      <c r="E20" s="20"/>
      <c r="F20" s="10"/>
      <c r="G20" s="4"/>
      <c r="H20" s="5" t="s">
        <v>5</v>
      </c>
      <c r="I20" s="6">
        <v>0.26054359008700007</v>
      </c>
      <c r="J20" s="6">
        <v>0.40993339722300004</v>
      </c>
      <c r="K20" s="22">
        <v>0.32952301269000006</v>
      </c>
      <c r="L20" s="23">
        <f t="shared" si="3"/>
        <v>1.0000000000000002</v>
      </c>
      <c r="N20" s="10"/>
      <c r="O20" s="10"/>
      <c r="P20" s="10"/>
      <c r="Q20" s="10"/>
      <c r="R20" s="10"/>
      <c r="S20" s="10"/>
      <c r="T20" s="10"/>
    </row>
    <row r="21" spans="1:20" ht="15.75" customHeight="1" x14ac:dyDescent="0.25">
      <c r="A21" s="19"/>
      <c r="B21" s="13"/>
      <c r="C21" s="26" t="s">
        <v>4</v>
      </c>
      <c r="D21" s="26" t="s">
        <v>5</v>
      </c>
      <c r="E21" s="26" t="s">
        <v>6</v>
      </c>
      <c r="F21" s="10"/>
      <c r="H21" s="5" t="s">
        <v>6</v>
      </c>
      <c r="I21" s="6">
        <v>0.26312405914600001</v>
      </c>
      <c r="J21" s="6">
        <v>0.32835296583400009</v>
      </c>
      <c r="K21" s="22">
        <v>0.4085229750199999</v>
      </c>
      <c r="L21" s="23">
        <f t="shared" si="3"/>
        <v>1</v>
      </c>
      <c r="N21" s="17"/>
      <c r="O21" s="12"/>
      <c r="P21" s="13"/>
      <c r="Q21" s="13"/>
      <c r="R21" s="13"/>
      <c r="S21" s="13"/>
      <c r="T21" s="10"/>
    </row>
    <row r="22" spans="1:20" ht="15.75" customHeight="1" x14ac:dyDescent="0.25">
      <c r="A22" s="10"/>
      <c r="B22" s="25" t="s">
        <v>4</v>
      </c>
      <c r="C22" s="28">
        <v>0.53</v>
      </c>
      <c r="D22" s="28">
        <v>0.16700000000000001</v>
      </c>
      <c r="E22" s="28">
        <v>0.17399999999999999</v>
      </c>
      <c r="F22" s="10"/>
      <c r="L22" s="4"/>
      <c r="N22" s="13"/>
      <c r="O22" s="13"/>
      <c r="P22" s="15"/>
      <c r="Q22" s="15"/>
      <c r="R22" s="15"/>
      <c r="S22" s="15"/>
      <c r="T22" s="18"/>
    </row>
    <row r="23" spans="1:20" ht="15.75" customHeight="1" x14ac:dyDescent="0.25">
      <c r="A23" s="17"/>
      <c r="B23" s="25" t="s">
        <v>5</v>
      </c>
      <c r="C23" s="29">
        <v>0.29399999999999998</v>
      </c>
      <c r="D23" s="29">
        <v>0.66700000000000004</v>
      </c>
      <c r="E23" s="29">
        <v>0.13</v>
      </c>
      <c r="F23" s="10"/>
      <c r="G23" s="1" t="s">
        <v>0</v>
      </c>
      <c r="H23" s="2">
        <f>H18+1</f>
        <v>5</v>
      </c>
      <c r="I23" s="3" t="s">
        <v>4</v>
      </c>
      <c r="J23" s="3" t="s">
        <v>5</v>
      </c>
      <c r="K23" s="3" t="s">
        <v>6</v>
      </c>
      <c r="L23" s="4"/>
      <c r="N23" s="13"/>
      <c r="O23" s="13"/>
      <c r="P23" s="15"/>
      <c r="Q23" s="15"/>
      <c r="R23" s="15"/>
      <c r="S23" s="15"/>
      <c r="T23" s="18"/>
    </row>
    <row r="24" spans="1:20" ht="15.75" customHeight="1" x14ac:dyDescent="0.25">
      <c r="A24" s="19"/>
      <c r="B24" s="25" t="s">
        <v>6</v>
      </c>
      <c r="C24" s="28">
        <v>0.17599999999999999</v>
      </c>
      <c r="D24" s="28">
        <v>0.16600000000000001</v>
      </c>
      <c r="E24" s="30">
        <v>0.69599999999999995</v>
      </c>
      <c r="F24" s="10"/>
      <c r="G24" s="4"/>
      <c r="H24" s="5" t="s">
        <v>4</v>
      </c>
      <c r="I24" s="6">
        <f t="array" ref="I24:K26">MMULT(I19:K21,$I$4:$K$6)</f>
        <v>0.27023954461741401</v>
      </c>
      <c r="J24" s="6">
        <v>0.38437966560640602</v>
      </c>
      <c r="K24" s="22">
        <v>0.34538078977617998</v>
      </c>
      <c r="L24" s="23">
        <f t="shared" ref="L24:L26" si="4">K24+J24+I24</f>
        <v>1</v>
      </c>
      <c r="N24" s="10"/>
      <c r="O24" s="13"/>
      <c r="P24" s="15"/>
      <c r="Q24" s="15"/>
      <c r="R24" s="15"/>
      <c r="S24" s="15"/>
      <c r="T24" s="18"/>
    </row>
    <row r="25" spans="1:20" ht="15.75" customHeight="1" x14ac:dyDescent="0.25">
      <c r="A25" s="19"/>
      <c r="B25" s="13"/>
      <c r="C25" s="27">
        <f>SUM(C22:C24)</f>
        <v>1</v>
      </c>
      <c r="D25" s="27">
        <f t="shared" ref="D25:E25" si="5">SUM(D22:D24)</f>
        <v>1</v>
      </c>
      <c r="E25" s="27">
        <f t="shared" si="5"/>
        <v>1</v>
      </c>
      <c r="F25" s="10"/>
      <c r="G25" s="4"/>
      <c r="H25" s="5" t="s">
        <v>5</v>
      </c>
      <c r="I25" s="6">
        <v>0.26388398429041104</v>
      </c>
      <c r="J25" s="6">
        <v>0.39286338308301905</v>
      </c>
      <c r="K25" s="22">
        <v>0.34325263262657002</v>
      </c>
      <c r="L25" s="23">
        <f t="shared" si="4"/>
        <v>1</v>
      </c>
      <c r="N25" s="10"/>
      <c r="O25" s="13"/>
      <c r="P25" s="15"/>
      <c r="Q25" s="15"/>
      <c r="R25" s="15"/>
      <c r="S25" s="15"/>
      <c r="T25" s="18"/>
    </row>
    <row r="26" spans="1:20" ht="15.75" customHeight="1" x14ac:dyDescent="0.25">
      <c r="A26" s="32" t="s">
        <v>2</v>
      </c>
      <c r="B26" s="10"/>
      <c r="C26" s="10"/>
      <c r="D26" s="10"/>
      <c r="E26" s="10"/>
      <c r="F26" s="10"/>
      <c r="H26" s="5" t="s">
        <v>6</v>
      </c>
      <c r="I26" s="6">
        <v>0.26537369429513802</v>
      </c>
      <c r="J26" s="6">
        <v>0.34947788835280202</v>
      </c>
      <c r="K26" s="22">
        <v>0.3851484173520599</v>
      </c>
      <c r="L26" s="23">
        <f t="shared" si="4"/>
        <v>0.99999999999999989</v>
      </c>
      <c r="N26" s="10"/>
      <c r="O26" s="10"/>
      <c r="P26" s="10"/>
      <c r="Q26" s="10"/>
      <c r="R26" s="10"/>
      <c r="S26" s="10"/>
      <c r="T26" s="10"/>
    </row>
    <row r="27" spans="1:20" ht="15.75" customHeight="1" x14ac:dyDescent="0.25">
      <c r="A27" s="17"/>
      <c r="B27" s="31">
        <v>1</v>
      </c>
      <c r="C27" s="31">
        <v>0</v>
      </c>
      <c r="D27" s="31">
        <v>0</v>
      </c>
      <c r="E27" s="19"/>
      <c r="F27" s="10"/>
      <c r="N27" s="17"/>
      <c r="O27" s="12"/>
      <c r="P27" s="13"/>
      <c r="Q27" s="13"/>
      <c r="R27" s="13"/>
      <c r="S27" s="13"/>
      <c r="T27" s="10"/>
    </row>
    <row r="28" spans="1:20" ht="15.75" customHeight="1" x14ac:dyDescent="0.25">
      <c r="A28" s="19"/>
      <c r="B28" s="31">
        <v>0</v>
      </c>
      <c r="C28" s="31">
        <v>1</v>
      </c>
      <c r="D28" s="31">
        <v>0</v>
      </c>
      <c r="E28" s="20"/>
      <c r="F28" s="10"/>
      <c r="G28" s="17" t="s">
        <v>8</v>
      </c>
      <c r="H28" s="37"/>
      <c r="I28" s="19"/>
      <c r="J28" s="19"/>
      <c r="K28" s="19"/>
      <c r="L28" s="19"/>
      <c r="M28" s="38"/>
      <c r="N28" s="13"/>
      <c r="O28" s="13"/>
      <c r="P28" s="15"/>
      <c r="Q28" s="15"/>
      <c r="R28" s="15"/>
      <c r="S28" s="15"/>
      <c r="T28" s="18"/>
    </row>
    <row r="29" spans="1:20" ht="15.75" customHeight="1" x14ac:dyDescent="0.25">
      <c r="A29" s="19"/>
      <c r="B29" s="31">
        <v>0</v>
      </c>
      <c r="C29" s="31">
        <v>0</v>
      </c>
      <c r="D29" s="31">
        <v>1</v>
      </c>
      <c r="E29" s="20"/>
      <c r="F29" s="10"/>
      <c r="G29" s="13"/>
      <c r="H29" s="29" cm="1">
        <f t="array" ref="H29:K32">MINVERSE(B31:E34)</f>
        <v>1.0390217827074704</v>
      </c>
      <c r="I29" s="28">
        <v>-0.53120406254176122</v>
      </c>
      <c r="J29" s="28">
        <v>-0.50781772016570903</v>
      </c>
      <c r="K29" s="33">
        <v>0.26610984899104634</v>
      </c>
      <c r="L29" s="39"/>
      <c r="M29" s="46" t="s">
        <v>9</v>
      </c>
      <c r="N29" s="13"/>
      <c r="O29" s="13"/>
      <c r="P29" s="15"/>
      <c r="Q29" s="15"/>
      <c r="R29" s="15"/>
      <c r="S29" s="15"/>
      <c r="T29" s="18"/>
    </row>
    <row r="30" spans="1:20" ht="15.75" customHeight="1" x14ac:dyDescent="0.25">
      <c r="A30" s="10"/>
      <c r="B30" s="10"/>
      <c r="C30" s="10"/>
      <c r="D30" s="10"/>
      <c r="E30" s="10"/>
      <c r="F30" s="10"/>
      <c r="G30" s="13"/>
      <c r="H30" s="29">
        <v>-0.35190877099202655</v>
      </c>
      <c r="I30" s="28">
        <v>1.2517261347944226</v>
      </c>
      <c r="J30" s="28">
        <v>-0.89981736380239652</v>
      </c>
      <c r="K30" s="33">
        <v>0.37503674996659092</v>
      </c>
      <c r="L30" s="39"/>
      <c r="M30" s="47">
        <v>0</v>
      </c>
      <c r="N30" s="10"/>
      <c r="O30" s="13"/>
      <c r="P30" s="15"/>
      <c r="Q30" s="15"/>
      <c r="R30" s="15"/>
      <c r="S30" s="15"/>
      <c r="T30" s="18"/>
    </row>
    <row r="31" spans="1:20" ht="15.75" customHeight="1" x14ac:dyDescent="0.25">
      <c r="A31" t="s">
        <v>7</v>
      </c>
      <c r="B31" s="34" cm="1">
        <f t="array" ref="B31:D33">(B27:D29-C22:E24)</f>
        <v>0.47</v>
      </c>
      <c r="C31" s="29">
        <v>-0.16700000000000001</v>
      </c>
      <c r="D31" s="29">
        <v>-0.17399999999999999</v>
      </c>
      <c r="E31" s="29">
        <v>1</v>
      </c>
      <c r="F31" s="10"/>
      <c r="G31" s="10"/>
      <c r="H31" s="29">
        <v>-0.6871130117154437</v>
      </c>
      <c r="I31" s="28">
        <v>-0.72052207225266141</v>
      </c>
      <c r="J31" s="28">
        <v>1.4076350839681055</v>
      </c>
      <c r="K31" s="33">
        <v>0.35885340104236269</v>
      </c>
      <c r="L31" s="39"/>
      <c r="M31" s="46">
        <f>SUM(C31:C33)</f>
        <v>0</v>
      </c>
      <c r="N31" s="10"/>
      <c r="O31" s="13"/>
      <c r="P31" s="15"/>
      <c r="Q31" s="15"/>
      <c r="R31" s="15"/>
      <c r="S31" s="15"/>
      <c r="T31" s="18"/>
    </row>
    <row r="32" spans="1:20" ht="15.75" customHeight="1" x14ac:dyDescent="0.25">
      <c r="B32" s="35">
        <v>-0.29399999999999998</v>
      </c>
      <c r="C32" s="29">
        <v>0.33299999999999996</v>
      </c>
      <c r="D32" s="28">
        <v>-0.13</v>
      </c>
      <c r="E32" s="30">
        <v>1</v>
      </c>
      <c r="F32" s="10"/>
      <c r="G32" s="10"/>
      <c r="H32" s="35">
        <v>0.33333333333333331</v>
      </c>
      <c r="I32" s="35">
        <v>0.33333333333333331</v>
      </c>
      <c r="J32" s="35">
        <v>0.33333333333333331</v>
      </c>
      <c r="K32" s="35">
        <v>-9.2518585385429707E-18</v>
      </c>
      <c r="L32" s="40"/>
      <c r="M32" s="46">
        <f>SUM(D31:D33)</f>
        <v>0</v>
      </c>
      <c r="N32" s="10"/>
      <c r="O32" s="10"/>
      <c r="P32" s="10"/>
      <c r="Q32" s="10"/>
      <c r="R32" s="10"/>
      <c r="S32" s="10"/>
      <c r="T32" s="10"/>
    </row>
    <row r="33" spans="1:20" ht="15.75" customHeight="1" x14ac:dyDescent="0.25">
      <c r="B33" s="35">
        <v>-0.17599999999999999</v>
      </c>
      <c r="C33" s="29">
        <v>-0.16600000000000001</v>
      </c>
      <c r="D33" s="28">
        <v>0.30400000000000005</v>
      </c>
      <c r="E33" s="30">
        <v>1</v>
      </c>
      <c r="F33" s="10"/>
      <c r="G33" s="17"/>
      <c r="H33" s="37"/>
      <c r="I33" s="19"/>
      <c r="J33" s="19"/>
      <c r="K33" s="19"/>
      <c r="L33" s="19"/>
      <c r="M33" s="46">
        <v>1</v>
      </c>
      <c r="N33" s="17"/>
      <c r="O33" s="12"/>
      <c r="P33" s="13"/>
      <c r="Q33" s="13"/>
      <c r="R33" s="13"/>
      <c r="S33" s="13"/>
      <c r="T33" s="10"/>
    </row>
    <row r="34" spans="1:20" ht="15.75" customHeight="1" x14ac:dyDescent="0.25">
      <c r="A34" s="10"/>
      <c r="B34" s="36">
        <v>1</v>
      </c>
      <c r="C34" s="35">
        <v>1</v>
      </c>
      <c r="D34" s="35">
        <v>1</v>
      </c>
      <c r="E34" s="35">
        <v>0</v>
      </c>
      <c r="F34" s="10"/>
      <c r="G34" s="41" t="s">
        <v>10</v>
      </c>
      <c r="H34" s="41"/>
      <c r="I34" s="15"/>
      <c r="J34" s="15"/>
      <c r="K34" s="15"/>
      <c r="L34" s="39"/>
      <c r="M34" s="38"/>
      <c r="N34" s="13"/>
      <c r="O34" s="13"/>
      <c r="P34" s="15"/>
      <c r="Q34" s="15"/>
      <c r="R34" s="15"/>
      <c r="S34" s="15"/>
      <c r="T34" s="18"/>
    </row>
    <row r="35" spans="1:20" ht="15.75" customHeight="1" x14ac:dyDescent="0.25">
      <c r="A35" s="10"/>
      <c r="B35" s="13"/>
      <c r="C35" s="13"/>
      <c r="D35" s="13"/>
      <c r="E35" s="19"/>
      <c r="F35" s="10"/>
      <c r="G35" s="42" t="s">
        <v>11</v>
      </c>
      <c r="H35" s="43">
        <f>K29</f>
        <v>0.26610984899104634</v>
      </c>
      <c r="I35" s="15"/>
      <c r="J35" s="15"/>
      <c r="K35" s="15"/>
      <c r="L35" s="39"/>
      <c r="M35" s="38"/>
      <c r="N35" s="13"/>
      <c r="O35" s="13"/>
      <c r="P35" s="15"/>
      <c r="Q35" s="15"/>
      <c r="R35" s="15"/>
      <c r="S35" s="15"/>
      <c r="T35" s="18"/>
    </row>
    <row r="36" spans="1:20" ht="15.75" customHeight="1" x14ac:dyDescent="0.25">
      <c r="A36" s="10"/>
      <c r="B36" s="13"/>
      <c r="C36" s="16"/>
      <c r="D36" s="16"/>
      <c r="E36" s="20"/>
      <c r="F36" s="10"/>
      <c r="G36" s="44" t="s">
        <v>12</v>
      </c>
      <c r="H36" s="43">
        <f>K30</f>
        <v>0.37503674996659092</v>
      </c>
      <c r="I36" s="15"/>
      <c r="J36" s="15"/>
      <c r="K36" s="15"/>
      <c r="L36" s="39"/>
      <c r="M36" s="38"/>
      <c r="N36" s="10"/>
      <c r="O36" s="13"/>
      <c r="P36" s="15"/>
      <c r="Q36" s="15"/>
      <c r="R36" s="15"/>
      <c r="S36" s="15"/>
      <c r="T36" s="18"/>
    </row>
    <row r="37" spans="1:20" ht="15.75" customHeight="1" x14ac:dyDescent="0.25">
      <c r="A37" s="10"/>
      <c r="B37" s="13"/>
      <c r="C37" s="16"/>
      <c r="D37" s="16"/>
      <c r="E37" s="20"/>
      <c r="F37" s="10"/>
      <c r="G37" s="44" t="s">
        <v>13</v>
      </c>
      <c r="H37" s="45">
        <f>K31</f>
        <v>0.35885340104236269</v>
      </c>
      <c r="I37" s="10"/>
      <c r="J37" s="10"/>
      <c r="K37" s="10"/>
      <c r="L37" s="10"/>
      <c r="N37" s="10"/>
      <c r="O37" s="13"/>
      <c r="P37" s="15"/>
      <c r="Q37" s="15"/>
      <c r="R37" s="15"/>
      <c r="S37" s="15"/>
      <c r="T37" s="18"/>
    </row>
    <row r="38" spans="1:20" ht="15.75" customHeight="1" x14ac:dyDescent="0.25">
      <c r="A38" s="10"/>
      <c r="B38" s="10"/>
      <c r="C38" s="10"/>
      <c r="D38" s="10"/>
      <c r="E38" s="10"/>
      <c r="F38" s="10"/>
      <c r="G38" s="17"/>
      <c r="H38" s="12"/>
      <c r="I38" s="13"/>
      <c r="J38" s="13"/>
      <c r="K38" s="13"/>
      <c r="L38" s="13"/>
      <c r="N38" s="10"/>
      <c r="O38" s="10"/>
      <c r="P38" s="10"/>
      <c r="Q38" s="10"/>
      <c r="R38" s="10"/>
      <c r="S38" s="10"/>
      <c r="T38" s="10"/>
    </row>
    <row r="39" spans="1:20" ht="15.75" customHeight="1" x14ac:dyDescent="0.25">
      <c r="A39" s="10"/>
      <c r="B39" s="10"/>
      <c r="C39" s="10"/>
      <c r="D39" s="10"/>
      <c r="E39" s="10"/>
      <c r="F39" s="10"/>
      <c r="G39" s="13"/>
      <c r="H39" s="13"/>
      <c r="I39" s="15"/>
      <c r="J39" s="15"/>
      <c r="K39" s="15"/>
      <c r="L39" s="18"/>
      <c r="N39" s="17"/>
      <c r="O39" s="12"/>
      <c r="P39" s="13"/>
      <c r="Q39" s="13"/>
      <c r="R39" s="13"/>
      <c r="S39" s="13"/>
      <c r="T39" s="10"/>
    </row>
    <row r="40" spans="1:20" ht="15.75" customHeight="1" x14ac:dyDescent="0.25">
      <c r="A40" s="10"/>
      <c r="B40" s="10"/>
      <c r="C40" s="10"/>
      <c r="D40" s="10"/>
      <c r="E40" s="10"/>
      <c r="F40" s="10"/>
      <c r="G40" s="13"/>
      <c r="H40" s="13"/>
      <c r="I40" s="15"/>
      <c r="J40" s="15"/>
      <c r="K40" s="15"/>
      <c r="L40" s="18"/>
      <c r="N40" s="13"/>
      <c r="O40" s="13"/>
      <c r="P40" s="15"/>
      <c r="Q40" s="15"/>
      <c r="R40" s="15"/>
      <c r="S40" s="15"/>
      <c r="T40" s="18"/>
    </row>
    <row r="41" spans="1:20" ht="15.75" customHeight="1" x14ac:dyDescent="0.25">
      <c r="A41" s="10"/>
      <c r="B41" s="10"/>
      <c r="C41" s="10"/>
      <c r="D41" s="10"/>
      <c r="E41" s="10"/>
      <c r="F41" s="10"/>
      <c r="G41" s="10"/>
      <c r="H41" s="13"/>
      <c r="I41" s="15"/>
      <c r="J41" s="15"/>
      <c r="K41" s="15"/>
      <c r="L41" s="18"/>
      <c r="N41" s="13"/>
      <c r="O41" s="13"/>
      <c r="P41" s="15"/>
      <c r="Q41" s="15"/>
      <c r="R41" s="15"/>
      <c r="S41" s="15"/>
      <c r="T41" s="18"/>
    </row>
    <row r="42" spans="1:2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N42" s="10"/>
      <c r="O42" s="13"/>
      <c r="P42" s="15"/>
      <c r="Q42" s="15"/>
      <c r="R42" s="15"/>
      <c r="S42" s="15"/>
      <c r="T42" s="18"/>
    </row>
    <row r="43" spans="1:20" ht="15.75" customHeight="1" x14ac:dyDescent="0.25">
      <c r="A43" s="10"/>
      <c r="B43" s="10"/>
      <c r="C43" s="10"/>
      <c r="D43" s="10"/>
      <c r="E43" s="10"/>
      <c r="F43" s="10"/>
      <c r="G43" s="17"/>
      <c r="H43" s="12"/>
      <c r="I43" s="13"/>
      <c r="J43" s="13"/>
      <c r="K43" s="13"/>
      <c r="L43" s="13"/>
      <c r="N43" s="10"/>
      <c r="O43" s="13"/>
      <c r="P43" s="15"/>
      <c r="Q43" s="15"/>
      <c r="R43" s="15"/>
      <c r="S43" s="15"/>
      <c r="T43" s="18"/>
    </row>
    <row r="44" spans="1:20" ht="15.75" customHeight="1" x14ac:dyDescent="0.25">
      <c r="A44" s="10"/>
      <c r="B44" s="10"/>
      <c r="C44" s="10"/>
      <c r="D44" s="10"/>
      <c r="E44" s="10"/>
      <c r="F44" s="10"/>
      <c r="G44" s="13"/>
      <c r="H44" s="13"/>
      <c r="I44" s="15"/>
      <c r="J44" s="15"/>
      <c r="K44" s="15"/>
      <c r="L44" s="18"/>
      <c r="N44" s="10"/>
      <c r="O44" s="10"/>
      <c r="P44" s="10"/>
      <c r="Q44" s="10"/>
      <c r="R44" s="10"/>
      <c r="S44" s="10"/>
      <c r="T44" s="10"/>
    </row>
    <row r="45" spans="1:20" ht="15.75" customHeight="1" x14ac:dyDescent="0.25">
      <c r="A45" s="10"/>
      <c r="B45" s="10"/>
      <c r="C45" s="10"/>
      <c r="D45" s="10"/>
      <c r="E45" s="10"/>
      <c r="F45" s="10"/>
      <c r="G45" s="13"/>
      <c r="H45" s="13"/>
      <c r="I45" s="15"/>
      <c r="J45" s="15"/>
      <c r="K45" s="15"/>
      <c r="L45" s="18"/>
      <c r="N45" s="17"/>
      <c r="O45" s="12"/>
      <c r="P45" s="13"/>
      <c r="Q45" s="13"/>
      <c r="R45" s="13"/>
      <c r="S45" s="13"/>
      <c r="T45" s="10"/>
    </row>
    <row r="46" spans="1:20" ht="15.75" customHeight="1" x14ac:dyDescent="0.25">
      <c r="A46" s="10"/>
      <c r="B46" s="10"/>
      <c r="C46" s="10"/>
      <c r="D46" s="10"/>
      <c r="E46" s="10"/>
      <c r="F46" s="10"/>
      <c r="G46" s="10"/>
      <c r="H46" s="13"/>
      <c r="I46" s="15"/>
      <c r="J46" s="15"/>
      <c r="K46" s="15"/>
      <c r="L46" s="18"/>
      <c r="N46" s="13"/>
      <c r="O46" s="13"/>
      <c r="P46" s="15"/>
      <c r="Q46" s="15"/>
      <c r="R46" s="15"/>
      <c r="S46" s="15"/>
      <c r="T46" s="18"/>
    </row>
    <row r="47" spans="1:2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N47" s="13"/>
      <c r="O47" s="13"/>
      <c r="P47" s="15"/>
      <c r="Q47" s="15"/>
      <c r="R47" s="15"/>
      <c r="S47" s="15"/>
      <c r="T47" s="18"/>
    </row>
    <row r="48" spans="1:20" ht="15.75" customHeight="1" x14ac:dyDescent="0.25">
      <c r="A48" s="10"/>
      <c r="B48" s="10"/>
      <c r="C48" s="10"/>
      <c r="D48" s="10"/>
      <c r="E48" s="10"/>
      <c r="F48" s="10"/>
      <c r="G48" s="17"/>
      <c r="H48" s="12"/>
      <c r="I48" s="13"/>
      <c r="J48" s="13"/>
      <c r="K48" s="13"/>
      <c r="L48" s="13"/>
      <c r="N48" s="10"/>
      <c r="O48" s="13"/>
      <c r="P48" s="15"/>
      <c r="Q48" s="15"/>
      <c r="R48" s="15"/>
      <c r="S48" s="15"/>
      <c r="T48" s="18"/>
    </row>
    <row r="49" spans="1:20" ht="15.75" customHeight="1" x14ac:dyDescent="0.25">
      <c r="A49" s="10"/>
      <c r="B49" s="10"/>
      <c r="C49" s="10"/>
      <c r="D49" s="10"/>
      <c r="E49" s="10"/>
      <c r="F49" s="10"/>
      <c r="G49" s="13"/>
      <c r="H49" s="13"/>
      <c r="I49" s="15"/>
      <c r="J49" s="15"/>
      <c r="K49" s="15"/>
      <c r="L49" s="18"/>
      <c r="N49" s="10"/>
      <c r="O49" s="13"/>
      <c r="P49" s="15"/>
      <c r="Q49" s="15"/>
      <c r="R49" s="15"/>
      <c r="S49" s="15"/>
      <c r="T49" s="18"/>
    </row>
    <row r="50" spans="1:20" ht="15.75" customHeight="1" x14ac:dyDescent="0.25">
      <c r="A50" s="10"/>
      <c r="B50" s="10"/>
      <c r="C50" s="10"/>
      <c r="D50" s="10"/>
      <c r="E50" s="10"/>
      <c r="F50" s="10"/>
      <c r="G50" s="13"/>
      <c r="H50" s="13"/>
      <c r="I50" s="15"/>
      <c r="J50" s="15"/>
      <c r="K50" s="15"/>
      <c r="L50" s="18"/>
      <c r="N50" s="10"/>
      <c r="O50" s="10"/>
      <c r="P50" s="10"/>
      <c r="Q50" s="10"/>
      <c r="R50" s="10"/>
      <c r="S50" s="10"/>
      <c r="T50" s="10"/>
    </row>
    <row r="51" spans="1:20" ht="15.75" customHeight="1" x14ac:dyDescent="0.25">
      <c r="A51" s="10"/>
      <c r="B51" s="10"/>
      <c r="C51" s="10"/>
      <c r="D51" s="10"/>
      <c r="E51" s="10"/>
      <c r="F51" s="10"/>
      <c r="G51" s="10"/>
      <c r="H51" s="13"/>
      <c r="I51" s="15"/>
      <c r="J51" s="15"/>
      <c r="K51" s="15"/>
      <c r="L51" s="18"/>
      <c r="N51" s="10"/>
      <c r="O51" s="10"/>
      <c r="P51" s="10"/>
      <c r="Q51" s="10"/>
      <c r="R51" s="10"/>
      <c r="S51" s="10"/>
      <c r="T51" s="10"/>
    </row>
    <row r="52" spans="1:2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N52" s="10"/>
      <c r="O52" s="10"/>
      <c r="P52" s="10"/>
      <c r="Q52" s="10"/>
      <c r="R52" s="10"/>
      <c r="S52" s="10"/>
      <c r="T52" s="10"/>
    </row>
    <row r="53" spans="1:20" ht="15.75" customHeight="1" x14ac:dyDescent="0.25">
      <c r="A53" s="10"/>
      <c r="B53" s="10"/>
      <c r="C53" s="10"/>
      <c r="D53" s="10"/>
      <c r="E53" s="10"/>
      <c r="F53" s="10"/>
      <c r="G53" s="17"/>
      <c r="H53" s="12"/>
      <c r="I53" s="13"/>
      <c r="J53" s="13"/>
      <c r="K53" s="13"/>
      <c r="L53" s="13"/>
      <c r="N53" s="10"/>
      <c r="O53" s="10"/>
      <c r="P53" s="10"/>
      <c r="Q53" s="10"/>
      <c r="R53" s="10"/>
      <c r="S53" s="10"/>
      <c r="T53" s="10"/>
    </row>
    <row r="54" spans="1:20" ht="15.75" customHeight="1" x14ac:dyDescent="0.25">
      <c r="A54" s="10"/>
      <c r="B54" s="10"/>
      <c r="C54" s="10"/>
      <c r="D54" s="10"/>
      <c r="E54" s="10"/>
      <c r="F54" s="10"/>
      <c r="G54" s="13"/>
      <c r="H54" s="13"/>
      <c r="I54" s="15"/>
      <c r="J54" s="15"/>
      <c r="K54" s="15"/>
      <c r="L54" s="18"/>
      <c r="N54" s="10"/>
      <c r="O54" s="10"/>
      <c r="P54" s="10"/>
      <c r="Q54" s="10"/>
      <c r="R54" s="10"/>
      <c r="S54" s="10"/>
      <c r="T54" s="10"/>
    </row>
    <row r="55" spans="1:20" ht="15.75" customHeight="1" x14ac:dyDescent="0.25">
      <c r="A55" s="10"/>
      <c r="B55" s="10"/>
      <c r="C55" s="10"/>
      <c r="D55" s="10"/>
      <c r="E55" s="10"/>
      <c r="F55" s="10"/>
      <c r="G55" s="13"/>
      <c r="H55" s="13"/>
      <c r="I55" s="15"/>
      <c r="J55" s="15"/>
      <c r="K55" s="15"/>
      <c r="L55" s="18"/>
      <c r="N55" s="10"/>
      <c r="O55" s="10"/>
      <c r="P55" s="10"/>
      <c r="Q55" s="10"/>
      <c r="R55" s="10"/>
      <c r="S55" s="10"/>
      <c r="T55" s="10"/>
    </row>
    <row r="56" spans="1:20" ht="15.75" customHeight="1" x14ac:dyDescent="0.25">
      <c r="A56" s="10"/>
      <c r="B56" s="10"/>
      <c r="C56" s="10"/>
      <c r="D56" s="10"/>
      <c r="E56" s="10"/>
      <c r="F56" s="10"/>
      <c r="G56" s="10"/>
      <c r="H56" s="13"/>
      <c r="I56" s="15"/>
      <c r="J56" s="15"/>
      <c r="K56" s="15"/>
      <c r="L56" s="18"/>
      <c r="N56" s="10"/>
      <c r="O56" s="10"/>
      <c r="P56" s="10"/>
      <c r="Q56" s="10"/>
      <c r="R56" s="10"/>
      <c r="S56" s="10"/>
      <c r="T56" s="10"/>
    </row>
    <row r="57" spans="1:2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N57" s="10"/>
      <c r="O57" s="10"/>
      <c r="P57" s="10"/>
      <c r="Q57" s="10"/>
      <c r="R57" s="10"/>
      <c r="S57" s="10"/>
      <c r="T57" s="10"/>
    </row>
    <row r="58" spans="1:20" ht="15.75" customHeight="1" x14ac:dyDescent="0.25">
      <c r="A58" s="10"/>
      <c r="B58" s="10"/>
      <c r="C58" s="10"/>
      <c r="D58" s="10"/>
      <c r="E58" s="10"/>
      <c r="F58" s="10"/>
      <c r="G58" s="10"/>
      <c r="H58" s="12"/>
      <c r="I58" s="13"/>
      <c r="J58" s="13"/>
      <c r="K58" s="13"/>
      <c r="L58" s="13"/>
      <c r="N58" s="10"/>
      <c r="O58" s="10"/>
      <c r="P58" s="10"/>
      <c r="Q58" s="10"/>
      <c r="R58" s="10"/>
      <c r="S58" s="10"/>
      <c r="T58" s="10"/>
    </row>
    <row r="59" spans="1:20" ht="15.75" customHeight="1" x14ac:dyDescent="0.25">
      <c r="A59" s="10"/>
      <c r="B59" s="10"/>
      <c r="C59" s="10"/>
      <c r="D59" s="10"/>
      <c r="E59" s="10"/>
      <c r="F59" s="10"/>
      <c r="G59" s="10"/>
      <c r="H59" s="13"/>
      <c r="I59" s="15"/>
      <c r="J59" s="15"/>
      <c r="K59" s="15"/>
      <c r="L59" s="18"/>
      <c r="N59" s="10"/>
      <c r="O59" s="10"/>
      <c r="P59" s="10"/>
      <c r="Q59" s="10"/>
      <c r="R59" s="10"/>
      <c r="S59" s="10"/>
      <c r="T59" s="10"/>
    </row>
    <row r="60" spans="1:20" ht="15.75" customHeight="1" x14ac:dyDescent="0.25">
      <c r="A60" s="10"/>
      <c r="B60" s="10"/>
      <c r="C60" s="10"/>
      <c r="D60" s="10"/>
      <c r="E60" s="10"/>
      <c r="F60" s="10"/>
      <c r="G60" s="10"/>
      <c r="H60" s="13"/>
      <c r="I60" s="15"/>
      <c r="J60" s="15"/>
      <c r="K60" s="15"/>
      <c r="L60" s="18"/>
      <c r="N60" s="10"/>
      <c r="O60" s="10"/>
      <c r="P60" s="10"/>
      <c r="Q60" s="10"/>
      <c r="R60" s="10"/>
      <c r="S60" s="10"/>
      <c r="T60" s="10"/>
    </row>
    <row r="61" spans="1:20" ht="15.75" customHeight="1" x14ac:dyDescent="0.25">
      <c r="A61" s="10"/>
      <c r="B61" s="10"/>
      <c r="C61" s="10"/>
      <c r="D61" s="10"/>
      <c r="E61" s="10"/>
      <c r="F61" s="10"/>
      <c r="G61" s="10"/>
      <c r="H61" s="13"/>
      <c r="I61" s="15"/>
      <c r="J61" s="15"/>
      <c r="K61" s="15"/>
      <c r="L61" s="18"/>
      <c r="N61" s="10"/>
      <c r="O61" s="10"/>
      <c r="P61" s="10"/>
      <c r="Q61" s="10"/>
      <c r="R61" s="10"/>
      <c r="S61" s="10"/>
      <c r="T61" s="10"/>
    </row>
    <row r="62" spans="1:2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N62" s="10"/>
      <c r="O62" s="10"/>
      <c r="P62" s="10"/>
      <c r="Q62" s="10"/>
      <c r="R62" s="10"/>
      <c r="S62" s="10"/>
      <c r="T62" s="10"/>
    </row>
    <row r="63" spans="1:20" ht="15.75" customHeight="1" x14ac:dyDescent="0.25">
      <c r="A63" s="10"/>
      <c r="B63" s="10"/>
      <c r="C63" s="10"/>
      <c r="D63" s="10"/>
      <c r="E63" s="10"/>
      <c r="F63" s="10"/>
      <c r="G63" s="10"/>
      <c r="H63" s="12"/>
      <c r="I63" s="13"/>
      <c r="J63" s="13"/>
      <c r="K63" s="13"/>
      <c r="L63" s="13"/>
      <c r="N63" s="10"/>
      <c r="O63" s="10"/>
      <c r="P63" s="10"/>
      <c r="Q63" s="10"/>
      <c r="R63" s="10"/>
      <c r="S63" s="10"/>
      <c r="T63" s="10"/>
    </row>
    <row r="64" spans="1:20" ht="15.75" customHeight="1" x14ac:dyDescent="0.25">
      <c r="A64" s="10"/>
      <c r="B64" s="10"/>
      <c r="C64" s="10"/>
      <c r="D64" s="10"/>
      <c r="E64" s="10"/>
      <c r="F64" s="10"/>
      <c r="G64" s="10"/>
      <c r="H64" s="13"/>
      <c r="I64" s="15"/>
      <c r="J64" s="15"/>
      <c r="K64" s="15"/>
      <c r="L64" s="18"/>
      <c r="N64" s="10"/>
      <c r="O64" s="10"/>
      <c r="P64" s="10"/>
      <c r="Q64" s="10"/>
      <c r="R64" s="10"/>
      <c r="S64" s="10"/>
      <c r="T64" s="10"/>
    </row>
    <row r="65" spans="1:20" ht="15.75" customHeight="1" x14ac:dyDescent="0.25">
      <c r="A65" s="10"/>
      <c r="B65" s="10"/>
      <c r="C65" s="10"/>
      <c r="D65" s="10"/>
      <c r="E65" s="10"/>
      <c r="F65" s="10"/>
      <c r="G65" s="10"/>
      <c r="H65" s="13"/>
      <c r="I65" s="15"/>
      <c r="J65" s="15"/>
      <c r="K65" s="15"/>
      <c r="L65" s="18"/>
      <c r="N65" s="10"/>
      <c r="O65" s="10"/>
      <c r="P65" s="10"/>
      <c r="Q65" s="10"/>
      <c r="R65" s="10"/>
      <c r="S65" s="10"/>
      <c r="T65" s="10"/>
    </row>
    <row r="66" spans="1:20" ht="15.75" customHeight="1" x14ac:dyDescent="0.25">
      <c r="A66" s="10"/>
      <c r="B66" s="10"/>
      <c r="C66" s="10"/>
      <c r="D66" s="10"/>
      <c r="E66" s="10"/>
      <c r="F66" s="10"/>
      <c r="G66" s="10"/>
      <c r="H66" s="13"/>
      <c r="I66" s="15"/>
      <c r="J66" s="15"/>
      <c r="K66" s="15"/>
      <c r="L66" s="18"/>
      <c r="N66" s="10"/>
      <c r="O66" s="10"/>
      <c r="P66" s="10"/>
      <c r="Q66" s="10"/>
      <c r="R66" s="10"/>
      <c r="S66" s="10"/>
      <c r="T66" s="10"/>
    </row>
    <row r="67" spans="1:2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N67" s="10"/>
      <c r="O67" s="10"/>
      <c r="P67" s="10"/>
      <c r="Q67" s="10"/>
      <c r="R67" s="10"/>
      <c r="S67" s="10"/>
      <c r="T67" s="10"/>
    </row>
    <row r="68" spans="1:20" ht="15.75" customHeight="1" x14ac:dyDescent="0.25">
      <c r="A68" s="10"/>
      <c r="B68" s="10"/>
      <c r="C68" s="10"/>
      <c r="D68" s="10"/>
      <c r="E68" s="10"/>
      <c r="F68" s="10"/>
      <c r="N68" s="10"/>
      <c r="O68" s="10"/>
      <c r="P68" s="10"/>
      <c r="Q68" s="10"/>
      <c r="R68" s="10"/>
      <c r="S68" s="10"/>
      <c r="T68" s="10"/>
    </row>
    <row r="69" spans="1:20" ht="15.75" customHeight="1" x14ac:dyDescent="0.25">
      <c r="A69" s="10"/>
      <c r="B69" s="10"/>
      <c r="C69" s="10"/>
      <c r="D69" s="10"/>
      <c r="E69" s="10"/>
      <c r="F69" s="10"/>
      <c r="N69" s="10"/>
      <c r="O69" s="10"/>
      <c r="P69" s="10"/>
      <c r="Q69" s="10"/>
      <c r="R69" s="10"/>
      <c r="S69" s="10"/>
      <c r="T69" s="10"/>
    </row>
    <row r="70" spans="1:20" ht="15.75" customHeight="1" x14ac:dyDescent="0.25">
      <c r="A70" s="10"/>
      <c r="B70" s="10"/>
      <c r="C70" s="10"/>
      <c r="D70" s="10"/>
      <c r="E70" s="10"/>
      <c r="F70" s="10"/>
      <c r="N70" s="10"/>
      <c r="O70" s="10"/>
      <c r="P70" s="10"/>
      <c r="Q70" s="10"/>
      <c r="R70" s="10"/>
      <c r="S70" s="10"/>
      <c r="T70" s="10"/>
    </row>
    <row r="71" spans="1:20" ht="15.75" customHeight="1" x14ac:dyDescent="0.25">
      <c r="A71" s="10"/>
      <c r="B71" s="10"/>
      <c r="C71" s="10"/>
      <c r="D71" s="10"/>
      <c r="E71" s="10"/>
      <c r="F71" s="10"/>
      <c r="N71" s="10"/>
      <c r="O71" s="10"/>
      <c r="P71" s="10"/>
      <c r="Q71" s="10"/>
      <c r="R71" s="10"/>
      <c r="S71" s="10"/>
      <c r="T71" s="10"/>
    </row>
    <row r="72" spans="1:20" ht="15.75" customHeight="1" x14ac:dyDescent="0.25">
      <c r="A72" s="10"/>
      <c r="B72" s="10"/>
      <c r="C72" s="10"/>
      <c r="D72" s="10"/>
      <c r="E72" s="10"/>
      <c r="F72" s="10"/>
      <c r="N72" s="10"/>
      <c r="O72" s="10"/>
      <c r="P72" s="10"/>
      <c r="Q72" s="10"/>
      <c r="R72" s="10"/>
      <c r="S72" s="10"/>
      <c r="T72" s="10"/>
    </row>
    <row r="73" spans="1:20" ht="15.75" customHeight="1" x14ac:dyDescent="0.25">
      <c r="A73" s="10"/>
      <c r="B73" s="10"/>
      <c r="C73" s="10"/>
      <c r="D73" s="10"/>
      <c r="E73" s="10"/>
      <c r="F73" s="10"/>
      <c r="N73" s="10"/>
      <c r="O73" s="10"/>
      <c r="P73" s="10"/>
      <c r="Q73" s="10"/>
      <c r="R73" s="10"/>
      <c r="S73" s="10"/>
      <c r="T73" s="10"/>
    </row>
    <row r="74" spans="1:20" ht="15.75" customHeight="1" x14ac:dyDescent="0.25">
      <c r="A74" s="10"/>
      <c r="B74" s="10"/>
      <c r="C74" s="10"/>
      <c r="D74" s="10"/>
      <c r="E74" s="10"/>
      <c r="F74" s="10"/>
      <c r="N74" s="10"/>
      <c r="O74" s="10"/>
      <c r="P74" s="10"/>
      <c r="Q74" s="10"/>
      <c r="R74" s="10"/>
      <c r="S74" s="10"/>
      <c r="T74" s="10"/>
    </row>
    <row r="75" spans="1:20" ht="15.75" customHeight="1" x14ac:dyDescent="0.25">
      <c r="A75" s="10"/>
      <c r="B75" s="10"/>
      <c r="C75" s="10"/>
      <c r="D75" s="10"/>
      <c r="E75" s="10"/>
      <c r="F75" s="10"/>
      <c r="N75" s="10"/>
      <c r="O75" s="10"/>
      <c r="P75" s="10"/>
      <c r="Q75" s="10"/>
      <c r="R75" s="10"/>
      <c r="S75" s="10"/>
      <c r="T75" s="10"/>
    </row>
    <row r="76" spans="1:20" ht="15.75" customHeight="1" x14ac:dyDescent="0.25">
      <c r="A76" s="10"/>
      <c r="B76" s="10"/>
      <c r="C76" s="10"/>
      <c r="D76" s="10"/>
      <c r="E76" s="10"/>
      <c r="F76" s="10"/>
      <c r="N76" s="10"/>
      <c r="O76" s="10"/>
      <c r="P76" s="10"/>
      <c r="Q76" s="10"/>
      <c r="R76" s="10"/>
      <c r="S76" s="10"/>
      <c r="T76" s="10"/>
    </row>
    <row r="77" spans="1:20" ht="15.75" customHeight="1" x14ac:dyDescent="0.25">
      <c r="A77" s="10"/>
      <c r="B77" s="10"/>
      <c r="C77" s="10"/>
      <c r="D77" s="10"/>
      <c r="E77" s="10"/>
      <c r="F77" s="10"/>
      <c r="N77" s="10"/>
      <c r="O77" s="10"/>
      <c r="P77" s="10"/>
      <c r="Q77" s="10"/>
      <c r="R77" s="10"/>
      <c r="S77" s="10"/>
      <c r="T77" s="10"/>
    </row>
    <row r="78" spans="1:20" ht="15.75" customHeight="1" x14ac:dyDescent="0.25">
      <c r="A78" s="10"/>
      <c r="B78" s="10"/>
      <c r="C78" s="10"/>
      <c r="D78" s="10"/>
      <c r="E78" s="10"/>
      <c r="F78" s="10"/>
      <c r="N78" s="10"/>
      <c r="O78" s="10"/>
      <c r="P78" s="10"/>
      <c r="Q78" s="10"/>
      <c r="R78" s="10"/>
      <c r="S78" s="10"/>
      <c r="T78" s="10"/>
    </row>
    <row r="79" spans="1:20" ht="15.75" customHeight="1" x14ac:dyDescent="0.25">
      <c r="A79" s="10"/>
      <c r="B79" s="10"/>
      <c r="C79" s="10"/>
      <c r="D79" s="10"/>
      <c r="E79" s="10"/>
      <c r="F79" s="10"/>
      <c r="N79" s="10"/>
      <c r="O79" s="10"/>
      <c r="P79" s="10"/>
      <c r="Q79" s="10"/>
      <c r="R79" s="10"/>
      <c r="S79" s="10"/>
      <c r="T79" s="10"/>
    </row>
    <row r="80" spans="1:20" ht="15.75" customHeight="1" x14ac:dyDescent="0.25">
      <c r="A80" s="10"/>
      <c r="B80" s="10"/>
      <c r="C80" s="10"/>
      <c r="D80" s="10"/>
      <c r="E80" s="10"/>
      <c r="F80" s="10"/>
      <c r="N80" s="10"/>
      <c r="O80" s="10"/>
      <c r="P80" s="10"/>
      <c r="Q80" s="10"/>
      <c r="R80" s="10"/>
      <c r="S80" s="10"/>
      <c r="T80" s="10"/>
    </row>
    <row r="81" spans="1:20" ht="15.75" customHeight="1" x14ac:dyDescent="0.25">
      <c r="A81" s="10"/>
      <c r="B81" s="10"/>
      <c r="C81" s="10"/>
      <c r="D81" s="10"/>
      <c r="E81" s="10"/>
      <c r="F81" s="10"/>
      <c r="N81" s="10"/>
      <c r="O81" s="10"/>
      <c r="P81" s="10"/>
      <c r="Q81" s="10"/>
      <c r="R81" s="10"/>
      <c r="S81" s="10"/>
      <c r="T81" s="10"/>
    </row>
    <row r="82" spans="1:20" ht="15.75" customHeight="1" x14ac:dyDescent="0.25">
      <c r="A82" s="10"/>
      <c r="B82" s="10"/>
      <c r="C82" s="10"/>
      <c r="D82" s="10"/>
      <c r="E82" s="10"/>
      <c r="F82" s="10"/>
      <c r="N82" s="10"/>
      <c r="O82" s="10"/>
      <c r="P82" s="10"/>
      <c r="Q82" s="10"/>
      <c r="R82" s="10"/>
      <c r="S82" s="10"/>
      <c r="T82" s="10"/>
    </row>
    <row r="83" spans="1:20" ht="15.75" customHeight="1" x14ac:dyDescent="0.25">
      <c r="A83" s="10"/>
      <c r="B83" s="10"/>
      <c r="C83" s="10"/>
      <c r="D83" s="10"/>
      <c r="E83" s="10"/>
      <c r="F83" s="10"/>
      <c r="N83" s="10"/>
      <c r="O83" s="10"/>
      <c r="P83" s="10"/>
      <c r="Q83" s="10"/>
      <c r="R83" s="10"/>
      <c r="S83" s="10"/>
      <c r="T83" s="10"/>
    </row>
    <row r="84" spans="1:20" ht="15.75" customHeight="1" x14ac:dyDescent="0.25">
      <c r="A84" s="10"/>
      <c r="B84" s="10"/>
      <c r="C84" s="10"/>
      <c r="D84" s="10"/>
      <c r="E84" s="10"/>
      <c r="F84" s="10"/>
      <c r="N84" s="10"/>
      <c r="O84" s="10"/>
      <c r="P84" s="10"/>
      <c r="Q84" s="10"/>
      <c r="R84" s="10"/>
      <c r="S84" s="10"/>
      <c r="T84" s="10"/>
    </row>
    <row r="85" spans="1:20" ht="15.75" customHeight="1" x14ac:dyDescent="0.25">
      <c r="A85" s="10"/>
      <c r="B85" s="10"/>
      <c r="C85" s="10"/>
      <c r="D85" s="10"/>
      <c r="E85" s="10"/>
      <c r="F85" s="10"/>
      <c r="N85" s="10"/>
      <c r="O85" s="10"/>
      <c r="P85" s="10"/>
      <c r="Q85" s="10"/>
      <c r="R85" s="10"/>
      <c r="S85" s="10"/>
      <c r="T85" s="10"/>
    </row>
    <row r="86" spans="1:20" ht="15.75" customHeight="1" x14ac:dyDescent="0.25">
      <c r="A86" s="10"/>
      <c r="B86" s="10"/>
      <c r="C86" s="10"/>
      <c r="D86" s="10"/>
      <c r="E86" s="10"/>
      <c r="F86" s="10"/>
      <c r="N86" s="10"/>
      <c r="O86" s="10"/>
      <c r="P86" s="10"/>
      <c r="Q86" s="10"/>
      <c r="R86" s="10"/>
      <c r="S86" s="10"/>
      <c r="T86" s="10"/>
    </row>
    <row r="87" spans="1:20" ht="15.75" customHeight="1" x14ac:dyDescent="0.25">
      <c r="A87" s="10"/>
      <c r="B87" s="10"/>
      <c r="C87" s="10"/>
      <c r="D87" s="10"/>
      <c r="E87" s="10"/>
      <c r="F87" s="10"/>
      <c r="N87" s="10"/>
      <c r="O87" s="10"/>
      <c r="P87" s="10"/>
      <c r="Q87" s="10"/>
      <c r="R87" s="10"/>
      <c r="S87" s="10"/>
      <c r="T87" s="10"/>
    </row>
    <row r="88" spans="1:20" ht="15.75" customHeight="1" x14ac:dyDescent="0.25">
      <c r="A88" s="10"/>
      <c r="B88" s="10"/>
      <c r="C88" s="10"/>
      <c r="D88" s="10"/>
      <c r="E88" s="10"/>
      <c r="F88" s="10"/>
      <c r="N88" s="10"/>
      <c r="O88" s="10"/>
      <c r="P88" s="10"/>
      <c r="Q88" s="10"/>
      <c r="R88" s="10"/>
      <c r="S88" s="10"/>
      <c r="T88" s="10"/>
    </row>
    <row r="89" spans="1:20" ht="15.75" customHeight="1" x14ac:dyDescent="0.25">
      <c r="A89" s="10"/>
      <c r="B89" s="10"/>
      <c r="C89" s="10"/>
      <c r="D89" s="10"/>
      <c r="E89" s="10"/>
      <c r="F89" s="10"/>
      <c r="N89" s="10"/>
      <c r="O89" s="10"/>
      <c r="P89" s="10"/>
      <c r="Q89" s="10"/>
      <c r="R89" s="10"/>
      <c r="S89" s="10"/>
      <c r="T89" s="10"/>
    </row>
    <row r="90" spans="1:20" ht="15.75" customHeight="1" x14ac:dyDescent="0.25">
      <c r="A90" s="10"/>
      <c r="B90" s="10"/>
      <c r="C90" s="10"/>
      <c r="D90" s="10"/>
      <c r="E90" s="10"/>
      <c r="F90" s="10"/>
      <c r="N90" s="10"/>
      <c r="O90" s="10"/>
      <c r="P90" s="10"/>
      <c r="Q90" s="10"/>
      <c r="R90" s="10"/>
      <c r="S90" s="10"/>
      <c r="T90" s="10"/>
    </row>
    <row r="91" spans="1:20" ht="15.75" customHeight="1" x14ac:dyDescent="0.25">
      <c r="A91" s="10"/>
      <c r="B91" s="10"/>
      <c r="C91" s="10"/>
      <c r="D91" s="10"/>
      <c r="E91" s="10"/>
      <c r="F91" s="10"/>
      <c r="N91" s="10"/>
      <c r="O91" s="10"/>
      <c r="P91" s="10"/>
      <c r="Q91" s="10"/>
      <c r="R91" s="10"/>
      <c r="S91" s="10"/>
      <c r="T91" s="10"/>
    </row>
    <row r="92" spans="1:20" ht="15.75" customHeight="1" x14ac:dyDescent="0.25">
      <c r="A92" s="10"/>
      <c r="B92" s="10"/>
      <c r="C92" s="10"/>
      <c r="D92" s="10"/>
      <c r="E92" s="10"/>
      <c r="F92" s="10"/>
      <c r="N92" s="10"/>
      <c r="O92" s="10"/>
      <c r="P92" s="10"/>
      <c r="Q92" s="10"/>
      <c r="R92" s="10"/>
      <c r="S92" s="10"/>
      <c r="T92" s="10"/>
    </row>
    <row r="93" spans="1:20" ht="15.75" customHeight="1" x14ac:dyDescent="0.25">
      <c r="A93" s="10"/>
      <c r="B93" s="10"/>
      <c r="C93" s="10"/>
      <c r="D93" s="10"/>
      <c r="E93" s="10"/>
      <c r="F93" s="10"/>
      <c r="N93" s="10"/>
      <c r="O93" s="10"/>
      <c r="P93" s="10"/>
      <c r="Q93" s="10"/>
      <c r="R93" s="10"/>
      <c r="S93" s="10"/>
      <c r="T93" s="10"/>
    </row>
    <row r="94" spans="1:20" ht="15.75" customHeight="1" x14ac:dyDescent="0.25">
      <c r="A94" s="10"/>
      <c r="B94" s="10"/>
      <c r="C94" s="10"/>
      <c r="D94" s="10"/>
      <c r="E94" s="10"/>
      <c r="F94" s="10"/>
      <c r="N94" s="10"/>
      <c r="O94" s="10"/>
      <c r="P94" s="10"/>
      <c r="Q94" s="10"/>
      <c r="R94" s="10"/>
      <c r="S94" s="10"/>
      <c r="T94" s="10"/>
    </row>
    <row r="95" spans="1:20" ht="15.75" customHeight="1" x14ac:dyDescent="0.25">
      <c r="A95" s="10"/>
      <c r="B95" s="10"/>
      <c r="C95" s="10"/>
      <c r="D95" s="10"/>
      <c r="E95" s="10"/>
      <c r="F95" s="10"/>
      <c r="N95" s="10"/>
      <c r="O95" s="10"/>
      <c r="P95" s="10"/>
      <c r="Q95" s="10"/>
      <c r="R95" s="10"/>
      <c r="S95" s="10"/>
      <c r="T95" s="10"/>
    </row>
    <row r="96" spans="1:20" ht="15.75" customHeight="1" x14ac:dyDescent="0.25">
      <c r="A96" s="10"/>
      <c r="B96" s="10"/>
      <c r="C96" s="10"/>
      <c r="D96" s="10"/>
      <c r="E96" s="10"/>
      <c r="F96" s="10"/>
      <c r="N96" s="10"/>
      <c r="O96" s="10"/>
      <c r="P96" s="10"/>
      <c r="Q96" s="10"/>
      <c r="R96" s="10"/>
      <c r="S96" s="10"/>
      <c r="T96" s="10"/>
    </row>
    <row r="97" spans="1:20" ht="15.75" customHeight="1" x14ac:dyDescent="0.25">
      <c r="A97" s="10"/>
      <c r="B97" s="10"/>
      <c r="C97" s="10"/>
      <c r="D97" s="10"/>
      <c r="E97" s="10"/>
      <c r="F97" s="10"/>
      <c r="N97" s="10"/>
      <c r="O97" s="10"/>
      <c r="P97" s="10"/>
      <c r="Q97" s="10"/>
      <c r="R97" s="10"/>
      <c r="S97" s="10"/>
      <c r="T97" s="10"/>
    </row>
    <row r="98" spans="1:20" ht="15.75" customHeight="1" x14ac:dyDescent="0.25">
      <c r="A98" s="10"/>
      <c r="B98" s="10"/>
      <c r="C98" s="10"/>
      <c r="D98" s="10"/>
      <c r="E98" s="10"/>
      <c r="F98" s="10"/>
      <c r="N98" s="10"/>
      <c r="O98" s="10"/>
      <c r="P98" s="10"/>
      <c r="Q98" s="10"/>
      <c r="R98" s="10"/>
      <c r="S98" s="10"/>
      <c r="T98" s="10"/>
    </row>
    <row r="99" spans="1:20" ht="15.75" customHeight="1" x14ac:dyDescent="0.25">
      <c r="A99" s="10"/>
      <c r="B99" s="10"/>
      <c r="C99" s="10"/>
      <c r="D99" s="10"/>
      <c r="E99" s="10"/>
      <c r="F99" s="10"/>
      <c r="N99" s="10"/>
      <c r="O99" s="10"/>
      <c r="P99" s="10"/>
      <c r="Q99" s="10"/>
      <c r="R99" s="10"/>
      <c r="S99" s="10"/>
      <c r="T99" s="10"/>
    </row>
    <row r="100" spans="1:20" ht="15.75" customHeight="1" x14ac:dyDescent="0.25">
      <c r="A100" s="10"/>
      <c r="B100" s="10"/>
      <c r="C100" s="10"/>
      <c r="D100" s="10"/>
      <c r="E100" s="10"/>
      <c r="F100" s="10"/>
      <c r="N100" s="10"/>
      <c r="O100" s="10"/>
      <c r="P100" s="10"/>
      <c r="Q100" s="10"/>
      <c r="R100" s="10"/>
      <c r="S100" s="10"/>
      <c r="T100" s="10"/>
    </row>
    <row r="101" spans="1:20" ht="15.75" customHeight="1" x14ac:dyDescent="0.25">
      <c r="A101" s="10"/>
      <c r="B101" s="10"/>
      <c r="C101" s="10"/>
      <c r="D101" s="10"/>
      <c r="E101" s="10"/>
      <c r="F101" s="10"/>
      <c r="N101" s="10"/>
      <c r="O101" s="10"/>
      <c r="P101" s="10"/>
      <c r="Q101" s="10"/>
      <c r="R101" s="10"/>
      <c r="S101" s="10"/>
      <c r="T101" s="10"/>
    </row>
    <row r="102" spans="1:20" ht="15.75" customHeight="1" x14ac:dyDescent="0.25">
      <c r="A102" s="10"/>
      <c r="B102" s="10"/>
      <c r="C102" s="10"/>
      <c r="D102" s="10"/>
      <c r="E102" s="10"/>
      <c r="F102" s="10"/>
      <c r="N102" s="10"/>
      <c r="O102" s="10"/>
      <c r="P102" s="10"/>
      <c r="Q102" s="10"/>
      <c r="R102" s="10"/>
      <c r="S102" s="10"/>
      <c r="T102" s="10"/>
    </row>
    <row r="103" spans="1:20" ht="15.75" customHeight="1" x14ac:dyDescent="0.25">
      <c r="A103" s="10"/>
      <c r="B103" s="10"/>
      <c r="C103" s="10"/>
      <c r="D103" s="10"/>
      <c r="E103" s="10"/>
      <c r="F103" s="10"/>
      <c r="N103" s="10"/>
      <c r="O103" s="10"/>
      <c r="P103" s="10"/>
      <c r="Q103" s="10"/>
      <c r="R103" s="10"/>
      <c r="S103" s="10"/>
      <c r="T103" s="10"/>
    </row>
    <row r="104" spans="1:20" ht="15.75" customHeight="1" x14ac:dyDescent="0.25">
      <c r="A104" s="10"/>
      <c r="B104" s="10"/>
      <c r="C104" s="10"/>
      <c r="D104" s="10"/>
      <c r="E104" s="10"/>
      <c r="F104" s="10"/>
      <c r="N104" s="10"/>
      <c r="O104" s="10"/>
      <c r="P104" s="10"/>
      <c r="Q104" s="10"/>
      <c r="R104" s="10"/>
      <c r="S104" s="10"/>
      <c r="T104" s="10"/>
    </row>
    <row r="105" spans="1:20" ht="15.75" customHeight="1" x14ac:dyDescent="0.25">
      <c r="A105" s="10"/>
      <c r="B105" s="10"/>
      <c r="C105" s="10"/>
      <c r="D105" s="10"/>
      <c r="E105" s="10"/>
      <c r="F105" s="10"/>
      <c r="N105" s="10"/>
      <c r="O105" s="10"/>
      <c r="P105" s="10"/>
      <c r="Q105" s="10"/>
      <c r="R105" s="10"/>
      <c r="S105" s="10"/>
      <c r="T105" s="10"/>
    </row>
    <row r="106" spans="1:20" ht="15.75" customHeight="1" x14ac:dyDescent="0.25">
      <c r="A106" s="10"/>
      <c r="B106" s="10"/>
      <c r="C106" s="10"/>
      <c r="D106" s="10"/>
      <c r="E106" s="10"/>
      <c r="F106" s="10"/>
      <c r="N106" s="10"/>
      <c r="O106" s="10"/>
      <c r="P106" s="10"/>
      <c r="Q106" s="10"/>
      <c r="R106" s="10"/>
      <c r="S106" s="10"/>
      <c r="T106" s="10"/>
    </row>
    <row r="107" spans="1:20" ht="15.75" customHeight="1" x14ac:dyDescent="0.25">
      <c r="A107" s="10"/>
      <c r="B107" s="10"/>
      <c r="C107" s="10"/>
      <c r="D107" s="10"/>
      <c r="E107" s="10"/>
      <c r="F107" s="10"/>
      <c r="N107" s="10"/>
      <c r="O107" s="10"/>
      <c r="P107" s="10"/>
      <c r="Q107" s="10"/>
      <c r="R107" s="10"/>
      <c r="S107" s="10"/>
      <c r="T107" s="10"/>
    </row>
    <row r="108" spans="1:20" ht="15.75" customHeight="1" x14ac:dyDescent="0.25">
      <c r="A108" s="10"/>
      <c r="B108" s="10"/>
      <c r="C108" s="10"/>
      <c r="D108" s="10"/>
      <c r="E108" s="10"/>
      <c r="F108" s="10"/>
      <c r="N108" s="10"/>
      <c r="O108" s="10"/>
      <c r="P108" s="10"/>
      <c r="Q108" s="10"/>
      <c r="R108" s="10"/>
      <c r="S108" s="10"/>
      <c r="T108" s="10"/>
    </row>
    <row r="109" spans="1:20" ht="15.75" customHeight="1" x14ac:dyDescent="0.25">
      <c r="A109" s="10"/>
      <c r="B109" s="10"/>
      <c r="C109" s="10"/>
      <c r="D109" s="10"/>
      <c r="E109" s="10"/>
      <c r="F109" s="10"/>
      <c r="N109" s="10"/>
      <c r="O109" s="10"/>
      <c r="P109" s="10"/>
      <c r="Q109" s="10"/>
      <c r="R109" s="10"/>
      <c r="S109" s="10"/>
      <c r="T109" s="10"/>
    </row>
    <row r="110" spans="1:20" ht="15.75" customHeight="1" x14ac:dyDescent="0.25">
      <c r="A110" s="10"/>
      <c r="B110" s="10"/>
      <c r="C110" s="10"/>
      <c r="D110" s="10"/>
      <c r="E110" s="10"/>
      <c r="F110" s="10"/>
      <c r="N110" s="10"/>
      <c r="O110" s="10"/>
      <c r="P110" s="10"/>
      <c r="Q110" s="10"/>
      <c r="R110" s="10"/>
      <c r="S110" s="10"/>
      <c r="T110" s="10"/>
    </row>
    <row r="111" spans="1:20" ht="15.75" customHeight="1" x14ac:dyDescent="0.25">
      <c r="A111" s="10"/>
      <c r="B111" s="10"/>
      <c r="C111" s="10"/>
      <c r="D111" s="10"/>
      <c r="E111" s="10"/>
      <c r="F111" s="10"/>
      <c r="N111" s="10"/>
      <c r="O111" s="10"/>
      <c r="P111" s="10"/>
      <c r="Q111" s="10"/>
      <c r="R111" s="10"/>
      <c r="S111" s="10"/>
      <c r="T111" s="10"/>
    </row>
    <row r="112" spans="1:20" ht="15.75" customHeight="1" x14ac:dyDescent="0.25">
      <c r="A112" s="10"/>
      <c r="B112" s="10"/>
      <c r="C112" s="10"/>
      <c r="D112" s="10"/>
      <c r="E112" s="10"/>
      <c r="F112" s="10"/>
      <c r="N112" s="10"/>
      <c r="O112" s="10"/>
      <c r="P112" s="10"/>
      <c r="Q112" s="10"/>
      <c r="R112" s="10"/>
      <c r="S112" s="10"/>
      <c r="T112" s="10"/>
    </row>
    <row r="113" spans="1:20" ht="15.75" customHeight="1" x14ac:dyDescent="0.25">
      <c r="A113" s="10"/>
      <c r="B113" s="10"/>
      <c r="C113" s="10"/>
      <c r="D113" s="10"/>
      <c r="E113" s="10"/>
      <c r="F113" s="10"/>
      <c r="N113" s="10"/>
      <c r="O113" s="10"/>
      <c r="P113" s="10"/>
      <c r="Q113" s="10"/>
      <c r="R113" s="10"/>
      <c r="S113" s="10"/>
      <c r="T113" s="10"/>
    </row>
    <row r="114" spans="1:20" ht="15.75" customHeight="1" x14ac:dyDescent="0.25">
      <c r="A114" s="10"/>
      <c r="B114" s="10"/>
      <c r="C114" s="10"/>
      <c r="D114" s="10"/>
      <c r="E114" s="10"/>
      <c r="F114" s="10"/>
      <c r="N114" s="10"/>
      <c r="O114" s="10"/>
      <c r="P114" s="10"/>
      <c r="Q114" s="10"/>
      <c r="R114" s="10"/>
      <c r="S114" s="10"/>
      <c r="T114" s="10"/>
    </row>
    <row r="115" spans="1:20" ht="15.75" customHeight="1" x14ac:dyDescent="0.25">
      <c r="A115" s="10"/>
      <c r="B115" s="10"/>
      <c r="C115" s="10"/>
      <c r="D115" s="10"/>
      <c r="E115" s="10"/>
      <c r="F115" s="10"/>
      <c r="N115" s="10"/>
      <c r="O115" s="10"/>
      <c r="P115" s="10"/>
      <c r="Q115" s="10"/>
      <c r="R115" s="10"/>
      <c r="S115" s="10"/>
      <c r="T115" s="10"/>
    </row>
    <row r="116" spans="1:20" ht="15.75" customHeight="1" x14ac:dyDescent="0.25">
      <c r="A116" s="10"/>
      <c r="B116" s="10"/>
      <c r="C116" s="10"/>
      <c r="D116" s="10"/>
      <c r="E116" s="10"/>
      <c r="F116" s="10"/>
      <c r="N116" s="10"/>
      <c r="O116" s="10"/>
      <c r="P116" s="10"/>
      <c r="Q116" s="10"/>
      <c r="R116" s="10"/>
      <c r="S116" s="10"/>
      <c r="T116" s="10"/>
    </row>
    <row r="117" spans="1:20" ht="15.75" customHeight="1" x14ac:dyDescent="0.25">
      <c r="A117" s="10"/>
      <c r="B117" s="10"/>
      <c r="C117" s="10"/>
      <c r="D117" s="10"/>
      <c r="E117" s="10"/>
      <c r="F117" s="10"/>
      <c r="N117" s="10"/>
      <c r="O117" s="10"/>
      <c r="P117" s="10"/>
      <c r="Q117" s="10"/>
      <c r="R117" s="10"/>
      <c r="S117" s="10"/>
      <c r="T117" s="10"/>
    </row>
    <row r="118" spans="1:20" ht="15.75" customHeight="1" x14ac:dyDescent="0.25">
      <c r="A118" s="10"/>
      <c r="B118" s="10"/>
      <c r="C118" s="10"/>
      <c r="D118" s="10"/>
      <c r="E118" s="10"/>
      <c r="F118" s="10"/>
      <c r="N118" s="10"/>
      <c r="O118" s="10"/>
      <c r="P118" s="10"/>
      <c r="Q118" s="10"/>
      <c r="R118" s="10"/>
      <c r="S118" s="10"/>
      <c r="T118" s="10"/>
    </row>
    <row r="119" spans="1:20" ht="15.75" customHeight="1" x14ac:dyDescent="0.25">
      <c r="A119" s="10"/>
      <c r="B119" s="10"/>
      <c r="C119" s="10"/>
      <c r="D119" s="10"/>
      <c r="E119" s="10"/>
      <c r="F119" s="10"/>
      <c r="N119" s="10"/>
      <c r="O119" s="10"/>
      <c r="P119" s="10"/>
      <c r="Q119" s="10"/>
      <c r="R119" s="10"/>
      <c r="S119" s="10"/>
      <c r="T119" s="10"/>
    </row>
    <row r="120" spans="1:20" ht="15.75" customHeight="1" x14ac:dyDescent="0.25">
      <c r="A120" s="10"/>
      <c r="B120" s="10"/>
      <c r="C120" s="10"/>
      <c r="D120" s="10"/>
      <c r="E120" s="10"/>
      <c r="F120" s="10"/>
      <c r="N120" s="10"/>
      <c r="O120" s="10"/>
      <c r="P120" s="10"/>
      <c r="Q120" s="10"/>
      <c r="R120" s="10"/>
      <c r="S120" s="10"/>
      <c r="T120" s="10"/>
    </row>
    <row r="121" spans="1:20" ht="15.75" customHeight="1" x14ac:dyDescent="0.25">
      <c r="A121" s="10"/>
      <c r="B121" s="10"/>
      <c r="C121" s="10"/>
      <c r="D121" s="10"/>
      <c r="E121" s="10"/>
      <c r="F121" s="10"/>
      <c r="N121" s="10"/>
      <c r="O121" s="10"/>
      <c r="P121" s="10"/>
      <c r="Q121" s="10"/>
      <c r="R121" s="10"/>
      <c r="S121" s="10"/>
      <c r="T121" s="10"/>
    </row>
    <row r="122" spans="1:20" ht="15.75" customHeight="1" x14ac:dyDescent="0.25">
      <c r="A122" s="10"/>
      <c r="B122" s="10"/>
      <c r="C122" s="10"/>
      <c r="D122" s="10"/>
      <c r="E122" s="10"/>
      <c r="F122" s="10"/>
      <c r="N122" s="10"/>
      <c r="O122" s="10"/>
      <c r="P122" s="10"/>
      <c r="Q122" s="10"/>
      <c r="R122" s="10"/>
      <c r="S122" s="10"/>
      <c r="T122" s="10"/>
    </row>
    <row r="123" spans="1:20" ht="15.75" customHeight="1" x14ac:dyDescent="0.25">
      <c r="A123" s="10"/>
      <c r="B123" s="10"/>
      <c r="C123" s="10"/>
      <c r="D123" s="10"/>
      <c r="E123" s="10"/>
      <c r="F123" s="10"/>
      <c r="N123" s="10"/>
      <c r="O123" s="10"/>
      <c r="P123" s="10"/>
      <c r="Q123" s="10"/>
      <c r="R123" s="10"/>
      <c r="S123" s="10"/>
      <c r="T123" s="10"/>
    </row>
    <row r="124" spans="1:20" ht="15.75" customHeight="1" x14ac:dyDescent="0.25">
      <c r="A124" s="10"/>
      <c r="B124" s="10"/>
      <c r="C124" s="10"/>
      <c r="D124" s="10"/>
      <c r="E124" s="10"/>
      <c r="F124" s="10"/>
      <c r="N124" s="10"/>
      <c r="O124" s="10"/>
      <c r="P124" s="10"/>
      <c r="Q124" s="10"/>
      <c r="R124" s="10"/>
      <c r="S124" s="10"/>
      <c r="T124" s="10"/>
    </row>
    <row r="125" spans="1:20" ht="15.75" customHeight="1" x14ac:dyDescent="0.25">
      <c r="A125" s="10"/>
      <c r="B125" s="10"/>
      <c r="C125" s="10"/>
      <c r="D125" s="10"/>
      <c r="E125" s="10"/>
      <c r="F125" s="10"/>
      <c r="N125" s="10"/>
      <c r="O125" s="10"/>
      <c r="P125" s="10"/>
      <c r="Q125" s="10"/>
      <c r="R125" s="10"/>
      <c r="S125" s="10"/>
      <c r="T125" s="10"/>
    </row>
    <row r="126" spans="1:20" ht="15.75" customHeight="1" x14ac:dyDescent="0.25">
      <c r="A126" s="10"/>
      <c r="B126" s="10"/>
      <c r="C126" s="10"/>
      <c r="D126" s="10"/>
      <c r="E126" s="10"/>
      <c r="F126" s="10"/>
      <c r="N126" s="10"/>
      <c r="O126" s="10"/>
      <c r="P126" s="10"/>
      <c r="Q126" s="10"/>
      <c r="R126" s="10"/>
      <c r="S126" s="10"/>
      <c r="T126" s="10"/>
    </row>
    <row r="127" spans="1:20" ht="15.75" customHeight="1" x14ac:dyDescent="0.25">
      <c r="A127" s="10"/>
      <c r="B127" s="10"/>
      <c r="C127" s="10"/>
      <c r="D127" s="10"/>
      <c r="E127" s="10"/>
      <c r="F127" s="10"/>
      <c r="N127" s="10"/>
      <c r="O127" s="10"/>
      <c r="P127" s="10"/>
      <c r="Q127" s="10"/>
      <c r="R127" s="10"/>
      <c r="S127" s="10"/>
      <c r="T127" s="10"/>
    </row>
    <row r="128" spans="1:20" ht="15.75" customHeight="1" x14ac:dyDescent="0.25">
      <c r="A128" s="10"/>
      <c r="B128" s="10"/>
      <c r="C128" s="10"/>
      <c r="D128" s="10"/>
      <c r="E128" s="10"/>
      <c r="F128" s="10"/>
      <c r="N128" s="10"/>
      <c r="O128" s="10"/>
      <c r="P128" s="10"/>
      <c r="Q128" s="10"/>
      <c r="R128" s="10"/>
      <c r="S128" s="10"/>
      <c r="T128" s="10"/>
    </row>
    <row r="129" spans="1:20" ht="15.75" customHeight="1" x14ac:dyDescent="0.25">
      <c r="A129" s="10"/>
      <c r="B129" s="10"/>
      <c r="C129" s="10"/>
      <c r="D129" s="10"/>
      <c r="E129" s="10"/>
      <c r="F129" s="10"/>
      <c r="N129" s="10"/>
      <c r="O129" s="10"/>
      <c r="P129" s="10"/>
      <c r="Q129" s="10"/>
      <c r="R129" s="10"/>
      <c r="S129" s="10"/>
      <c r="T129" s="10"/>
    </row>
    <row r="130" spans="1:20" ht="15.75" customHeight="1" x14ac:dyDescent="0.25">
      <c r="A130" s="10"/>
      <c r="B130" s="10"/>
      <c r="C130" s="10"/>
      <c r="D130" s="10"/>
      <c r="E130" s="10"/>
      <c r="F130" s="10"/>
      <c r="N130" s="10"/>
      <c r="O130" s="10"/>
      <c r="P130" s="10"/>
      <c r="Q130" s="10"/>
      <c r="R130" s="10"/>
      <c r="S130" s="10"/>
      <c r="T130" s="10"/>
    </row>
    <row r="131" spans="1:20" ht="15.75" customHeight="1" x14ac:dyDescent="0.25">
      <c r="A131" s="10"/>
      <c r="B131" s="10"/>
      <c r="C131" s="10"/>
      <c r="D131" s="10"/>
      <c r="E131" s="10"/>
      <c r="F131" s="10"/>
      <c r="N131" s="10"/>
      <c r="O131" s="10"/>
      <c r="P131" s="10"/>
      <c r="Q131" s="10"/>
      <c r="R131" s="10"/>
      <c r="S131" s="10"/>
      <c r="T131" s="10"/>
    </row>
    <row r="132" spans="1:20" ht="15.75" customHeight="1" x14ac:dyDescent="0.25">
      <c r="A132" s="10"/>
      <c r="B132" s="10"/>
      <c r="C132" s="10"/>
      <c r="D132" s="10"/>
      <c r="E132" s="10"/>
      <c r="F132" s="10"/>
      <c r="N132" s="10"/>
      <c r="O132" s="10"/>
      <c r="P132" s="10"/>
      <c r="Q132" s="10"/>
      <c r="R132" s="10"/>
      <c r="S132" s="10"/>
      <c r="T132" s="10"/>
    </row>
    <row r="133" spans="1:20" ht="15.75" customHeight="1" x14ac:dyDescent="0.25">
      <c r="A133" s="10"/>
      <c r="B133" s="10"/>
      <c r="C133" s="10"/>
      <c r="D133" s="10"/>
      <c r="E133" s="10"/>
      <c r="F133" s="10"/>
      <c r="N133" s="10"/>
      <c r="O133" s="10"/>
      <c r="P133" s="10"/>
      <c r="Q133" s="10"/>
      <c r="R133" s="10"/>
      <c r="S133" s="10"/>
      <c r="T133" s="10"/>
    </row>
    <row r="134" spans="1:20" ht="15.75" customHeight="1" x14ac:dyDescent="0.25">
      <c r="A134" s="10"/>
      <c r="B134" s="10"/>
      <c r="C134" s="10"/>
      <c r="D134" s="10"/>
      <c r="E134" s="10"/>
      <c r="F134" s="10"/>
      <c r="N134" s="10"/>
      <c r="O134" s="10"/>
      <c r="P134" s="10"/>
      <c r="Q134" s="10"/>
      <c r="R134" s="10"/>
      <c r="S134" s="10"/>
      <c r="T134" s="10"/>
    </row>
    <row r="135" spans="1:20" ht="15.75" customHeight="1" x14ac:dyDescent="0.25">
      <c r="A135" s="10"/>
      <c r="B135" s="10"/>
      <c r="C135" s="10"/>
      <c r="D135" s="10"/>
      <c r="E135" s="10"/>
      <c r="F135" s="10"/>
      <c r="N135" s="10"/>
      <c r="O135" s="10"/>
      <c r="P135" s="10"/>
      <c r="Q135" s="10"/>
      <c r="R135" s="10"/>
      <c r="S135" s="10"/>
      <c r="T135" s="10"/>
    </row>
    <row r="136" spans="1:20" ht="15.75" customHeight="1" x14ac:dyDescent="0.25">
      <c r="A136" s="10"/>
      <c r="B136" s="10"/>
      <c r="C136" s="10"/>
      <c r="D136" s="10"/>
      <c r="E136" s="10"/>
      <c r="F136" s="10"/>
      <c r="N136" s="10"/>
      <c r="O136" s="10"/>
      <c r="P136" s="10"/>
      <c r="Q136" s="10"/>
      <c r="R136" s="10"/>
      <c r="S136" s="10"/>
      <c r="T136" s="10"/>
    </row>
    <row r="137" spans="1:20" ht="15.75" customHeight="1" x14ac:dyDescent="0.25">
      <c r="A137" s="10"/>
      <c r="B137" s="10"/>
      <c r="C137" s="10"/>
      <c r="D137" s="10"/>
      <c r="E137" s="10"/>
      <c r="F137" s="10"/>
      <c r="N137" s="10"/>
      <c r="O137" s="10"/>
      <c r="P137" s="10"/>
      <c r="Q137" s="10"/>
      <c r="R137" s="10"/>
      <c r="S137" s="10"/>
      <c r="T137" s="10"/>
    </row>
    <row r="138" spans="1:20" ht="15.75" customHeight="1" x14ac:dyDescent="0.25">
      <c r="A138" s="10"/>
      <c r="B138" s="10"/>
      <c r="C138" s="10"/>
      <c r="D138" s="10"/>
      <c r="E138" s="10"/>
      <c r="F138" s="10"/>
      <c r="N138" s="10"/>
      <c r="O138" s="10"/>
      <c r="P138" s="10"/>
      <c r="Q138" s="10"/>
      <c r="R138" s="10"/>
      <c r="S138" s="10"/>
      <c r="T138" s="10"/>
    </row>
    <row r="139" spans="1:20" ht="15.75" customHeight="1" x14ac:dyDescent="0.25">
      <c r="A139" s="10"/>
      <c r="B139" s="10"/>
      <c r="C139" s="10"/>
      <c r="D139" s="10"/>
      <c r="E139" s="10"/>
      <c r="F139" s="10"/>
      <c r="N139" s="10"/>
      <c r="O139" s="10"/>
      <c r="P139" s="10"/>
      <c r="Q139" s="10"/>
      <c r="R139" s="10"/>
      <c r="S139" s="10"/>
      <c r="T139" s="10"/>
    </row>
    <row r="140" spans="1:20" ht="15.75" customHeight="1" x14ac:dyDescent="0.25">
      <c r="A140" s="10"/>
      <c r="B140" s="10"/>
      <c r="C140" s="10"/>
      <c r="D140" s="10"/>
      <c r="E140" s="10"/>
      <c r="F140" s="10"/>
      <c r="N140" s="10"/>
      <c r="O140" s="10"/>
      <c r="P140" s="10"/>
      <c r="Q140" s="10"/>
      <c r="R140" s="10"/>
      <c r="S140" s="10"/>
      <c r="T140" s="10"/>
    </row>
    <row r="141" spans="1:20" ht="15.75" customHeight="1" x14ac:dyDescent="0.25">
      <c r="A141" s="10"/>
      <c r="B141" s="10"/>
      <c r="C141" s="10"/>
      <c r="D141" s="10"/>
      <c r="E141" s="10"/>
      <c r="F141" s="10"/>
      <c r="N141" s="10"/>
      <c r="O141" s="10"/>
      <c r="P141" s="10"/>
      <c r="Q141" s="10"/>
      <c r="R141" s="10"/>
      <c r="S141" s="10"/>
      <c r="T141" s="10"/>
    </row>
    <row r="142" spans="1:20" ht="15.75" customHeight="1" x14ac:dyDescent="0.25">
      <c r="A142" s="10"/>
      <c r="B142" s="10"/>
      <c r="C142" s="10"/>
      <c r="D142" s="10"/>
      <c r="E142" s="10"/>
      <c r="F142" s="10"/>
      <c r="N142" s="10"/>
      <c r="O142" s="10"/>
      <c r="P142" s="10"/>
      <c r="Q142" s="10"/>
      <c r="R142" s="10"/>
      <c r="S142" s="10"/>
      <c r="T142" s="10"/>
    </row>
    <row r="143" spans="1:20" ht="15.75" customHeight="1" x14ac:dyDescent="0.25">
      <c r="A143" s="10"/>
      <c r="B143" s="10"/>
      <c r="C143" s="10"/>
      <c r="D143" s="10"/>
      <c r="E143" s="10"/>
      <c r="F143" s="10"/>
      <c r="N143" s="10"/>
      <c r="O143" s="10"/>
      <c r="P143" s="10"/>
      <c r="Q143" s="10"/>
      <c r="R143" s="10"/>
      <c r="S143" s="10"/>
      <c r="T143" s="10"/>
    </row>
    <row r="144" spans="1:20" ht="15.75" customHeight="1" x14ac:dyDescent="0.25">
      <c r="A144" s="10"/>
      <c r="B144" s="10"/>
      <c r="C144" s="10"/>
      <c r="D144" s="10"/>
      <c r="E144" s="10"/>
      <c r="F144" s="10"/>
      <c r="N144" s="10"/>
      <c r="O144" s="10"/>
      <c r="P144" s="10"/>
      <c r="Q144" s="10"/>
      <c r="R144" s="10"/>
      <c r="S144" s="10"/>
      <c r="T144" s="10"/>
    </row>
    <row r="145" spans="1:20" ht="15.75" customHeight="1" x14ac:dyDescent="0.25">
      <c r="A145" s="10"/>
      <c r="B145" s="10"/>
      <c r="C145" s="10"/>
      <c r="D145" s="10"/>
      <c r="E145" s="10"/>
      <c r="F145" s="10"/>
      <c r="N145" s="10"/>
      <c r="O145" s="10"/>
      <c r="P145" s="10"/>
      <c r="Q145" s="10"/>
      <c r="R145" s="10"/>
      <c r="S145" s="10"/>
      <c r="T145" s="10"/>
    </row>
    <row r="146" spans="1:20" ht="15.75" customHeight="1" x14ac:dyDescent="0.25">
      <c r="A146" s="10"/>
      <c r="B146" s="10"/>
      <c r="C146" s="10"/>
      <c r="D146" s="10"/>
      <c r="E146" s="10"/>
      <c r="F146" s="10"/>
      <c r="N146" s="10"/>
      <c r="O146" s="10"/>
      <c r="P146" s="10"/>
      <c r="Q146" s="10"/>
      <c r="R146" s="10"/>
      <c r="S146" s="10"/>
      <c r="T146" s="10"/>
    </row>
    <row r="147" spans="1:20" ht="15.75" customHeight="1" x14ac:dyDescent="0.25">
      <c r="A147" s="10"/>
      <c r="B147" s="10"/>
      <c r="C147" s="10"/>
      <c r="D147" s="10"/>
      <c r="E147" s="10"/>
      <c r="F147" s="10"/>
      <c r="N147" s="10"/>
      <c r="O147" s="10"/>
      <c r="P147" s="10"/>
      <c r="Q147" s="10"/>
      <c r="R147" s="10"/>
      <c r="S147" s="10"/>
      <c r="T147" s="10"/>
    </row>
    <row r="148" spans="1:20" ht="15.75" customHeight="1" x14ac:dyDescent="0.25">
      <c r="A148" s="10"/>
      <c r="B148" s="10"/>
      <c r="C148" s="10"/>
      <c r="D148" s="10"/>
      <c r="E148" s="10"/>
      <c r="F148" s="10"/>
      <c r="N148" s="10"/>
      <c r="O148" s="10"/>
      <c r="P148" s="10"/>
      <c r="Q148" s="10"/>
      <c r="R148" s="10"/>
      <c r="S148" s="10"/>
      <c r="T148" s="10"/>
    </row>
    <row r="149" spans="1:20" ht="15.75" customHeight="1" x14ac:dyDescent="0.25">
      <c r="A149" s="10"/>
      <c r="B149" s="10"/>
      <c r="C149" s="10"/>
      <c r="D149" s="10"/>
      <c r="E149" s="10"/>
      <c r="F149" s="10"/>
      <c r="N149" s="10"/>
      <c r="O149" s="10"/>
      <c r="P149" s="10"/>
      <c r="Q149" s="10"/>
      <c r="R149" s="10"/>
      <c r="S149" s="10"/>
      <c r="T149" s="10"/>
    </row>
    <row r="150" spans="1:20" ht="15.75" customHeight="1" x14ac:dyDescent="0.25">
      <c r="A150" s="10"/>
      <c r="B150" s="10"/>
      <c r="C150" s="10"/>
      <c r="D150" s="10"/>
      <c r="E150" s="10"/>
      <c r="F150" s="10"/>
      <c r="N150" s="10"/>
      <c r="O150" s="10"/>
      <c r="P150" s="10"/>
      <c r="Q150" s="10"/>
      <c r="R150" s="10"/>
      <c r="S150" s="10"/>
      <c r="T150" s="10"/>
    </row>
    <row r="151" spans="1:20" ht="15.75" customHeight="1" x14ac:dyDescent="0.25">
      <c r="A151" s="10"/>
      <c r="B151" s="10"/>
      <c r="C151" s="10"/>
      <c r="D151" s="10"/>
      <c r="E151" s="10"/>
      <c r="F151" s="10"/>
      <c r="N151" s="10"/>
      <c r="O151" s="10"/>
      <c r="P151" s="10"/>
      <c r="Q151" s="10"/>
      <c r="R151" s="10"/>
      <c r="S151" s="10"/>
      <c r="T151" s="10"/>
    </row>
    <row r="152" spans="1:20" ht="15.75" customHeight="1" x14ac:dyDescent="0.25">
      <c r="A152" s="10"/>
      <c r="B152" s="10"/>
      <c r="C152" s="10"/>
      <c r="D152" s="10"/>
      <c r="E152" s="10"/>
      <c r="F152" s="10"/>
      <c r="N152" s="10"/>
      <c r="O152" s="10"/>
      <c r="P152" s="10"/>
      <c r="Q152" s="10"/>
      <c r="R152" s="10"/>
      <c r="S152" s="10"/>
      <c r="T152" s="10"/>
    </row>
    <row r="153" spans="1:20" ht="15.75" customHeight="1" x14ac:dyDescent="0.25">
      <c r="A153" s="10"/>
      <c r="B153" s="10"/>
      <c r="C153" s="10"/>
      <c r="D153" s="10"/>
      <c r="E153" s="10"/>
      <c r="F153" s="10"/>
      <c r="N153" s="10"/>
      <c r="O153" s="10"/>
      <c r="P153" s="10"/>
      <c r="Q153" s="10"/>
      <c r="R153" s="10"/>
      <c r="S153" s="10"/>
      <c r="T153" s="10"/>
    </row>
    <row r="154" spans="1:20" ht="15.75" customHeight="1" x14ac:dyDescent="0.25">
      <c r="A154" s="10"/>
      <c r="B154" s="10"/>
      <c r="C154" s="10"/>
      <c r="D154" s="10"/>
      <c r="E154" s="10"/>
      <c r="F154" s="10"/>
      <c r="N154" s="10"/>
      <c r="O154" s="10"/>
      <c r="P154" s="10"/>
      <c r="Q154" s="10"/>
      <c r="R154" s="10"/>
      <c r="S154" s="10"/>
      <c r="T154" s="10"/>
    </row>
    <row r="155" spans="1:20" ht="15.75" customHeight="1" x14ac:dyDescent="0.25">
      <c r="A155" s="10"/>
      <c r="B155" s="10"/>
      <c r="C155" s="10"/>
      <c r="D155" s="10"/>
      <c r="E155" s="10"/>
      <c r="F155" s="10"/>
      <c r="N155" s="10"/>
      <c r="O155" s="10"/>
      <c r="P155" s="10"/>
      <c r="Q155" s="10"/>
      <c r="R155" s="10"/>
      <c r="S155" s="10"/>
      <c r="T155" s="10"/>
    </row>
    <row r="156" spans="1:20" ht="15.75" customHeight="1" x14ac:dyDescent="0.25">
      <c r="A156" s="10"/>
      <c r="B156" s="10"/>
      <c r="C156" s="10"/>
      <c r="D156" s="10"/>
      <c r="E156" s="10"/>
      <c r="F156" s="10"/>
      <c r="N156" s="10"/>
      <c r="O156" s="10"/>
      <c r="P156" s="10"/>
      <c r="Q156" s="10"/>
      <c r="R156" s="10"/>
      <c r="S156" s="10"/>
      <c r="T156" s="10"/>
    </row>
    <row r="157" spans="1:20" ht="15.75" customHeight="1" x14ac:dyDescent="0.25">
      <c r="A157" s="10"/>
      <c r="B157" s="10"/>
      <c r="C157" s="10"/>
      <c r="D157" s="10"/>
      <c r="E157" s="10"/>
      <c r="F157" s="10"/>
      <c r="N157" s="10"/>
      <c r="O157" s="10"/>
      <c r="P157" s="10"/>
      <c r="Q157" s="10"/>
      <c r="R157" s="10"/>
      <c r="S157" s="10"/>
      <c r="T157" s="10"/>
    </row>
    <row r="158" spans="1:20" ht="15.75" customHeight="1" x14ac:dyDescent="0.25">
      <c r="A158" s="10"/>
      <c r="B158" s="10"/>
      <c r="C158" s="10"/>
      <c r="D158" s="10"/>
      <c r="E158" s="10"/>
      <c r="F158" s="10"/>
      <c r="N158" s="10"/>
      <c r="O158" s="10"/>
      <c r="P158" s="10"/>
      <c r="Q158" s="10"/>
      <c r="R158" s="10"/>
      <c r="S158" s="10"/>
      <c r="T158" s="10"/>
    </row>
    <row r="159" spans="1:20" ht="15.75" customHeight="1" x14ac:dyDescent="0.25">
      <c r="A159" s="10"/>
      <c r="B159" s="10"/>
      <c r="C159" s="10"/>
      <c r="D159" s="10"/>
      <c r="E159" s="10"/>
      <c r="F159" s="10"/>
      <c r="N159" s="10"/>
      <c r="O159" s="10"/>
      <c r="P159" s="10"/>
      <c r="Q159" s="10"/>
      <c r="R159" s="10"/>
      <c r="S159" s="10"/>
      <c r="T159" s="10"/>
    </row>
    <row r="160" spans="1:20" ht="15.75" customHeight="1" x14ac:dyDescent="0.25">
      <c r="A160" s="10"/>
      <c r="B160" s="10"/>
      <c r="C160" s="10"/>
      <c r="D160" s="10"/>
      <c r="E160" s="10"/>
      <c r="F160" s="10"/>
      <c r="N160" s="10"/>
      <c r="O160" s="10"/>
      <c r="P160" s="10"/>
      <c r="Q160" s="10"/>
      <c r="R160" s="10"/>
      <c r="S160" s="10"/>
      <c r="T160" s="10"/>
    </row>
    <row r="161" spans="1:20" ht="15.75" customHeight="1" x14ac:dyDescent="0.25">
      <c r="A161" s="10"/>
      <c r="B161" s="10"/>
      <c r="C161" s="10"/>
      <c r="D161" s="10"/>
      <c r="E161" s="10"/>
      <c r="F161" s="10"/>
      <c r="N161" s="10"/>
      <c r="O161" s="10"/>
      <c r="P161" s="10"/>
      <c r="Q161" s="10"/>
      <c r="R161" s="10"/>
      <c r="S161" s="10"/>
      <c r="T161" s="10"/>
    </row>
    <row r="162" spans="1:20" ht="15.75" customHeight="1" x14ac:dyDescent="0.25">
      <c r="A162" s="10"/>
      <c r="B162" s="10"/>
      <c r="C162" s="10"/>
      <c r="D162" s="10"/>
      <c r="E162" s="10"/>
      <c r="F162" s="10"/>
      <c r="N162" s="10"/>
      <c r="O162" s="10"/>
      <c r="P162" s="10"/>
      <c r="Q162" s="10"/>
      <c r="R162" s="10"/>
      <c r="S162" s="10"/>
      <c r="T162" s="10"/>
    </row>
    <row r="163" spans="1:20" ht="15.75" customHeight="1" x14ac:dyDescent="0.25">
      <c r="A163" s="10"/>
      <c r="B163" s="10"/>
      <c r="C163" s="10"/>
      <c r="D163" s="10"/>
      <c r="E163" s="10"/>
      <c r="F163" s="10"/>
      <c r="N163" s="10"/>
      <c r="O163" s="10"/>
      <c r="P163" s="10"/>
      <c r="Q163" s="10"/>
      <c r="R163" s="10"/>
      <c r="S163" s="10"/>
      <c r="T163" s="10"/>
    </row>
    <row r="164" spans="1:20" ht="15.75" customHeight="1" x14ac:dyDescent="0.25">
      <c r="A164" s="10"/>
      <c r="B164" s="10"/>
      <c r="C164" s="10"/>
      <c r="D164" s="10"/>
      <c r="E164" s="10"/>
      <c r="F164" s="10"/>
      <c r="N164" s="10"/>
      <c r="O164" s="10"/>
      <c r="P164" s="10"/>
      <c r="Q164" s="10"/>
      <c r="R164" s="10"/>
      <c r="S164" s="10"/>
      <c r="T164" s="10"/>
    </row>
    <row r="165" spans="1:20" ht="15.75" customHeight="1" x14ac:dyDescent="0.25">
      <c r="A165" s="10"/>
      <c r="B165" s="10"/>
      <c r="C165" s="10"/>
      <c r="D165" s="10"/>
      <c r="E165" s="10"/>
      <c r="F165" s="10"/>
      <c r="N165" s="10"/>
      <c r="O165" s="10"/>
      <c r="P165" s="10"/>
      <c r="Q165" s="10"/>
      <c r="R165" s="10"/>
      <c r="S165" s="10"/>
      <c r="T165" s="10"/>
    </row>
    <row r="166" spans="1:20" ht="15.75" customHeight="1" x14ac:dyDescent="0.25">
      <c r="A166" s="10"/>
      <c r="B166" s="10"/>
      <c r="C166" s="10"/>
      <c r="D166" s="10"/>
      <c r="E166" s="10"/>
      <c r="F166" s="10"/>
      <c r="N166" s="10"/>
      <c r="O166" s="10"/>
      <c r="P166" s="10"/>
      <c r="Q166" s="10"/>
      <c r="R166" s="10"/>
      <c r="S166" s="10"/>
      <c r="T166" s="10"/>
    </row>
    <row r="167" spans="1:20" ht="15.75" customHeight="1" x14ac:dyDescent="0.25">
      <c r="A167" s="10"/>
      <c r="B167" s="10"/>
      <c r="C167" s="10"/>
      <c r="D167" s="10"/>
      <c r="E167" s="10"/>
      <c r="F167" s="10"/>
      <c r="N167" s="10"/>
      <c r="O167" s="10"/>
      <c r="P167" s="10"/>
      <c r="Q167" s="10"/>
      <c r="R167" s="10"/>
      <c r="S167" s="10"/>
      <c r="T167" s="10"/>
    </row>
    <row r="168" spans="1:20" ht="15.75" customHeight="1" x14ac:dyDescent="0.25">
      <c r="A168" s="10"/>
      <c r="B168" s="10"/>
      <c r="C168" s="10"/>
      <c r="D168" s="10"/>
      <c r="E168" s="10"/>
      <c r="F168" s="10"/>
      <c r="N168" s="10"/>
      <c r="O168" s="10"/>
      <c r="P168" s="10"/>
      <c r="Q168" s="10"/>
      <c r="R168" s="10"/>
      <c r="S168" s="10"/>
      <c r="T168" s="10"/>
    </row>
    <row r="169" spans="1:20" ht="15.75" customHeight="1" x14ac:dyDescent="0.25">
      <c r="A169" s="10"/>
      <c r="B169" s="10"/>
      <c r="C169" s="10"/>
      <c r="D169" s="10"/>
      <c r="E169" s="10"/>
      <c r="F169" s="10"/>
      <c r="N169" s="10"/>
      <c r="O169" s="10"/>
      <c r="P169" s="10"/>
      <c r="Q169" s="10"/>
      <c r="R169" s="10"/>
      <c r="S169" s="10"/>
      <c r="T169" s="10"/>
    </row>
    <row r="170" spans="1:20" ht="15.75" customHeight="1" x14ac:dyDescent="0.25">
      <c r="A170" s="10"/>
      <c r="B170" s="10"/>
      <c r="C170" s="10"/>
      <c r="D170" s="10"/>
      <c r="E170" s="10"/>
      <c r="F170" s="10"/>
      <c r="N170" s="10"/>
      <c r="O170" s="10"/>
      <c r="P170" s="10"/>
      <c r="Q170" s="10"/>
      <c r="R170" s="10"/>
      <c r="S170" s="10"/>
      <c r="T170" s="10"/>
    </row>
    <row r="171" spans="1:20" ht="15.75" customHeight="1" x14ac:dyDescent="0.25">
      <c r="A171" s="10"/>
      <c r="B171" s="10"/>
      <c r="C171" s="10"/>
      <c r="D171" s="10"/>
      <c r="E171" s="10"/>
      <c r="F171" s="10"/>
      <c r="N171" s="10"/>
      <c r="O171" s="10"/>
      <c r="P171" s="10"/>
      <c r="Q171" s="10"/>
      <c r="R171" s="10"/>
      <c r="S171" s="10"/>
      <c r="T171" s="10"/>
    </row>
    <row r="172" spans="1:20" ht="15.75" customHeight="1" x14ac:dyDescent="0.25">
      <c r="A172" s="10"/>
      <c r="B172" s="10"/>
      <c r="C172" s="10"/>
      <c r="D172" s="10"/>
      <c r="E172" s="10"/>
      <c r="F172" s="10"/>
      <c r="N172" s="10"/>
      <c r="O172" s="10"/>
      <c r="P172" s="10"/>
      <c r="Q172" s="10"/>
      <c r="R172" s="10"/>
      <c r="S172" s="10"/>
      <c r="T172" s="10"/>
    </row>
    <row r="173" spans="1:20" ht="15.75" customHeight="1" x14ac:dyDescent="0.25">
      <c r="A173" s="10"/>
      <c r="B173" s="10"/>
      <c r="C173" s="10"/>
      <c r="D173" s="10"/>
      <c r="E173" s="10"/>
      <c r="F173" s="10"/>
      <c r="N173" s="10"/>
      <c r="O173" s="10"/>
      <c r="P173" s="10"/>
      <c r="Q173" s="10"/>
      <c r="R173" s="10"/>
      <c r="S173" s="10"/>
      <c r="T173" s="10"/>
    </row>
    <row r="174" spans="1:20" ht="15.75" customHeight="1" x14ac:dyDescent="0.25">
      <c r="A174" s="10"/>
      <c r="B174" s="10"/>
      <c r="C174" s="10"/>
      <c r="D174" s="10"/>
      <c r="E174" s="10"/>
      <c r="F174" s="10"/>
      <c r="N174" s="10"/>
      <c r="O174" s="10"/>
      <c r="P174" s="10"/>
      <c r="Q174" s="10"/>
      <c r="R174" s="10"/>
      <c r="S174" s="10"/>
      <c r="T174" s="10"/>
    </row>
    <row r="175" spans="1:20" ht="15.75" customHeight="1" x14ac:dyDescent="0.25">
      <c r="A175" s="10"/>
      <c r="B175" s="10"/>
      <c r="C175" s="10"/>
      <c r="D175" s="10"/>
      <c r="E175" s="10"/>
      <c r="F175" s="10"/>
      <c r="N175" s="10"/>
      <c r="O175" s="10"/>
      <c r="P175" s="10"/>
      <c r="Q175" s="10"/>
      <c r="R175" s="10"/>
      <c r="S175" s="10"/>
      <c r="T175" s="10"/>
    </row>
    <row r="176" spans="1:20" ht="15.75" customHeight="1" x14ac:dyDescent="0.25">
      <c r="A176" s="10"/>
      <c r="B176" s="10"/>
      <c r="C176" s="10"/>
      <c r="D176" s="10"/>
      <c r="E176" s="10"/>
      <c r="F176" s="10"/>
      <c r="N176" s="10"/>
      <c r="O176" s="10"/>
      <c r="P176" s="10"/>
      <c r="Q176" s="10"/>
      <c r="R176" s="10"/>
      <c r="S176" s="10"/>
      <c r="T176" s="10"/>
    </row>
    <row r="177" spans="1:20" ht="15.75" customHeight="1" x14ac:dyDescent="0.25">
      <c r="A177" s="10"/>
      <c r="B177" s="10"/>
      <c r="C177" s="10"/>
      <c r="D177" s="10"/>
      <c r="E177" s="10"/>
      <c r="F177" s="10"/>
      <c r="N177" s="10"/>
      <c r="O177" s="10"/>
      <c r="P177" s="10"/>
      <c r="Q177" s="10"/>
      <c r="R177" s="10"/>
      <c r="S177" s="10"/>
      <c r="T177" s="10"/>
    </row>
    <row r="178" spans="1:20" ht="15.75" customHeight="1" x14ac:dyDescent="0.25">
      <c r="A178" s="10"/>
      <c r="B178" s="10"/>
      <c r="C178" s="10"/>
      <c r="D178" s="10"/>
      <c r="E178" s="10"/>
      <c r="F178" s="10"/>
      <c r="N178" s="10"/>
      <c r="O178" s="10"/>
      <c r="P178" s="10"/>
      <c r="Q178" s="10"/>
      <c r="R178" s="10"/>
      <c r="S178" s="10"/>
      <c r="T178" s="10"/>
    </row>
    <row r="179" spans="1:20" ht="15.75" customHeight="1" x14ac:dyDescent="0.25">
      <c r="A179" s="10"/>
      <c r="B179" s="10"/>
      <c r="C179" s="10"/>
      <c r="D179" s="10"/>
      <c r="E179" s="10"/>
      <c r="F179" s="10"/>
      <c r="N179" s="10"/>
      <c r="O179" s="10"/>
      <c r="P179" s="10"/>
      <c r="Q179" s="10"/>
      <c r="R179" s="10"/>
      <c r="S179" s="10"/>
      <c r="T179" s="10"/>
    </row>
    <row r="180" spans="1:20" ht="15.75" customHeight="1" x14ac:dyDescent="0.25">
      <c r="A180" s="10"/>
      <c r="B180" s="10"/>
      <c r="C180" s="10"/>
      <c r="D180" s="10"/>
      <c r="E180" s="10"/>
      <c r="F180" s="10"/>
      <c r="N180" s="10"/>
      <c r="O180" s="10"/>
      <c r="P180" s="10"/>
      <c r="Q180" s="10"/>
      <c r="R180" s="10"/>
      <c r="S180" s="10"/>
      <c r="T180" s="10"/>
    </row>
    <row r="181" spans="1:20" ht="15.75" customHeight="1" x14ac:dyDescent="0.25">
      <c r="A181" s="10"/>
      <c r="B181" s="10"/>
      <c r="C181" s="10"/>
      <c r="D181" s="10"/>
      <c r="E181" s="10"/>
      <c r="F181" s="10"/>
      <c r="N181" s="10"/>
      <c r="O181" s="10"/>
      <c r="P181" s="10"/>
      <c r="Q181" s="10"/>
      <c r="R181" s="10"/>
      <c r="S181" s="10"/>
      <c r="T181" s="10"/>
    </row>
    <row r="182" spans="1:20" ht="15.75" customHeight="1" x14ac:dyDescent="0.25">
      <c r="A182" s="10"/>
      <c r="B182" s="10"/>
      <c r="C182" s="10"/>
      <c r="D182" s="10"/>
      <c r="E182" s="10"/>
      <c r="F182" s="10"/>
      <c r="N182" s="10"/>
      <c r="O182" s="10"/>
      <c r="P182" s="10"/>
      <c r="Q182" s="10"/>
      <c r="R182" s="10"/>
      <c r="S182" s="10"/>
      <c r="T182" s="10"/>
    </row>
    <row r="183" spans="1:20" ht="15.75" customHeight="1" x14ac:dyDescent="0.25">
      <c r="A183" s="10"/>
      <c r="B183" s="10"/>
      <c r="C183" s="10"/>
      <c r="D183" s="10"/>
      <c r="E183" s="10"/>
      <c r="F183" s="10"/>
      <c r="N183" s="10"/>
      <c r="O183" s="10"/>
      <c r="P183" s="10"/>
      <c r="Q183" s="10"/>
      <c r="R183" s="10"/>
      <c r="S183" s="10"/>
      <c r="T183" s="10"/>
    </row>
    <row r="184" spans="1:20" ht="15.75" customHeight="1" x14ac:dyDescent="0.25">
      <c r="A184" s="10"/>
      <c r="B184" s="10"/>
      <c r="C184" s="10"/>
      <c r="D184" s="10"/>
      <c r="E184" s="10"/>
      <c r="F184" s="10"/>
      <c r="N184" s="10"/>
      <c r="O184" s="10"/>
      <c r="P184" s="10"/>
      <c r="Q184" s="10"/>
      <c r="R184" s="10"/>
      <c r="S184" s="10"/>
      <c r="T184" s="10"/>
    </row>
    <row r="185" spans="1:20" ht="15.75" customHeight="1" x14ac:dyDescent="0.25">
      <c r="A185" s="10"/>
      <c r="B185" s="10"/>
      <c r="C185" s="10"/>
      <c r="D185" s="10"/>
      <c r="E185" s="10"/>
      <c r="F185" s="10"/>
      <c r="N185" s="10"/>
      <c r="O185" s="10"/>
      <c r="P185" s="10"/>
      <c r="Q185" s="10"/>
      <c r="R185" s="10"/>
      <c r="S185" s="10"/>
      <c r="T185" s="10"/>
    </row>
    <row r="186" spans="1:20" ht="15.75" customHeight="1" x14ac:dyDescent="0.25">
      <c r="A186" s="10"/>
      <c r="B186" s="10"/>
      <c r="C186" s="10"/>
      <c r="D186" s="10"/>
      <c r="E186" s="10"/>
      <c r="F186" s="10"/>
      <c r="N186" s="10"/>
      <c r="O186" s="10"/>
      <c r="P186" s="10"/>
      <c r="Q186" s="10"/>
      <c r="R186" s="10"/>
      <c r="S186" s="10"/>
      <c r="T186" s="10"/>
    </row>
    <row r="187" spans="1:20" ht="15.75" customHeight="1" x14ac:dyDescent="0.25">
      <c r="A187" s="10"/>
      <c r="B187" s="10"/>
      <c r="C187" s="10"/>
      <c r="D187" s="10"/>
      <c r="E187" s="10"/>
      <c r="F187" s="10"/>
      <c r="N187" s="10"/>
      <c r="O187" s="10"/>
      <c r="P187" s="10"/>
      <c r="Q187" s="10"/>
      <c r="R187" s="10"/>
      <c r="S187" s="10"/>
      <c r="T187" s="10"/>
    </row>
    <row r="188" spans="1:20" ht="15.75" customHeight="1" x14ac:dyDescent="0.25">
      <c r="A188" s="10"/>
      <c r="B188" s="10"/>
      <c r="C188" s="10"/>
      <c r="D188" s="10"/>
      <c r="E188" s="10"/>
      <c r="F188" s="10"/>
      <c r="N188" s="10"/>
      <c r="O188" s="10"/>
      <c r="P188" s="10"/>
      <c r="Q188" s="10"/>
      <c r="R188" s="10"/>
      <c r="S188" s="10"/>
      <c r="T188" s="10"/>
    </row>
    <row r="189" spans="1:20" ht="15.75" customHeight="1" x14ac:dyDescent="0.25">
      <c r="A189" s="10"/>
      <c r="B189" s="10"/>
      <c r="C189" s="10"/>
      <c r="D189" s="10"/>
      <c r="E189" s="10"/>
      <c r="F189" s="10"/>
      <c r="N189" s="10"/>
      <c r="O189" s="10"/>
      <c r="P189" s="10"/>
      <c r="Q189" s="10"/>
      <c r="R189" s="10"/>
      <c r="S189" s="10"/>
      <c r="T189" s="10"/>
    </row>
    <row r="190" spans="1:20" ht="15.75" customHeight="1" x14ac:dyDescent="0.25">
      <c r="A190" s="10"/>
      <c r="B190" s="10"/>
      <c r="C190" s="10"/>
      <c r="D190" s="10"/>
      <c r="E190" s="10"/>
      <c r="F190" s="10"/>
      <c r="N190" s="10"/>
      <c r="O190" s="10"/>
      <c r="P190" s="10"/>
      <c r="Q190" s="10"/>
      <c r="R190" s="10"/>
      <c r="S190" s="10"/>
      <c r="T190" s="10"/>
    </row>
    <row r="191" spans="1:20" ht="15.75" customHeight="1" x14ac:dyDescent="0.25">
      <c r="A191" s="10"/>
      <c r="B191" s="10"/>
      <c r="C191" s="10"/>
      <c r="D191" s="10"/>
      <c r="E191" s="10"/>
      <c r="F191" s="10"/>
      <c r="N191" s="10"/>
      <c r="O191" s="10"/>
      <c r="P191" s="10"/>
      <c r="Q191" s="10"/>
      <c r="R191" s="10"/>
      <c r="S191" s="10"/>
      <c r="T191" s="10"/>
    </row>
    <row r="192" spans="1:20" ht="15.75" customHeight="1" x14ac:dyDescent="0.25">
      <c r="A192" s="10"/>
      <c r="B192" s="10"/>
      <c r="C192" s="10"/>
      <c r="D192" s="10"/>
      <c r="E192" s="10"/>
      <c r="F192" s="10"/>
      <c r="N192" s="10"/>
      <c r="O192" s="10"/>
      <c r="P192" s="10"/>
      <c r="Q192" s="10"/>
      <c r="R192" s="10"/>
      <c r="S192" s="10"/>
      <c r="T192" s="10"/>
    </row>
    <row r="193" spans="1:20" ht="15.75" customHeight="1" x14ac:dyDescent="0.25">
      <c r="A193" s="10"/>
      <c r="B193" s="10"/>
      <c r="C193" s="10"/>
      <c r="D193" s="10"/>
      <c r="E193" s="10"/>
      <c r="F193" s="10"/>
      <c r="N193" s="10"/>
      <c r="O193" s="10"/>
      <c r="P193" s="10"/>
      <c r="Q193" s="10"/>
      <c r="R193" s="10"/>
      <c r="S193" s="10"/>
      <c r="T193" s="10"/>
    </row>
    <row r="194" spans="1:20" ht="15.75" customHeight="1" x14ac:dyDescent="0.25">
      <c r="A194" s="10"/>
      <c r="B194" s="10"/>
      <c r="C194" s="10"/>
      <c r="D194" s="10"/>
      <c r="E194" s="10"/>
      <c r="F194" s="10"/>
      <c r="N194" s="10"/>
      <c r="O194" s="10"/>
      <c r="P194" s="10"/>
      <c r="Q194" s="10"/>
      <c r="R194" s="10"/>
      <c r="S194" s="10"/>
      <c r="T194" s="10"/>
    </row>
    <row r="195" spans="1:20" ht="15.75" customHeight="1" x14ac:dyDescent="0.25">
      <c r="A195" s="10"/>
      <c r="B195" s="10"/>
      <c r="C195" s="10"/>
      <c r="D195" s="10"/>
      <c r="E195" s="10"/>
      <c r="F195" s="10"/>
      <c r="N195" s="10"/>
      <c r="O195" s="10"/>
      <c r="P195" s="10"/>
      <c r="Q195" s="10"/>
      <c r="R195" s="10"/>
      <c r="S195" s="10"/>
      <c r="T195" s="10"/>
    </row>
    <row r="196" spans="1:20" ht="15.75" customHeight="1" x14ac:dyDescent="0.25">
      <c r="A196" s="10"/>
      <c r="B196" s="10"/>
      <c r="C196" s="10"/>
      <c r="D196" s="10"/>
      <c r="E196" s="10"/>
      <c r="F196" s="10"/>
      <c r="N196" s="10"/>
      <c r="O196" s="10"/>
      <c r="P196" s="10"/>
      <c r="Q196" s="10"/>
      <c r="R196" s="10"/>
      <c r="S196" s="10"/>
      <c r="T196" s="10"/>
    </row>
    <row r="197" spans="1:20" ht="15.75" customHeight="1" x14ac:dyDescent="0.25">
      <c r="A197" s="10"/>
      <c r="B197" s="10"/>
      <c r="C197" s="10"/>
      <c r="D197" s="10"/>
      <c r="E197" s="10"/>
      <c r="F197" s="10"/>
      <c r="N197" s="10"/>
      <c r="O197" s="10"/>
      <c r="P197" s="10"/>
      <c r="Q197" s="10"/>
      <c r="R197" s="10"/>
      <c r="S197" s="10"/>
      <c r="T197" s="10"/>
    </row>
    <row r="198" spans="1:20" ht="15.75" customHeight="1" x14ac:dyDescent="0.25">
      <c r="A198" s="10"/>
      <c r="B198" s="10"/>
      <c r="C198" s="10"/>
      <c r="D198" s="10"/>
      <c r="E198" s="10"/>
      <c r="F198" s="10"/>
      <c r="N198" s="10"/>
      <c r="O198" s="10"/>
      <c r="P198" s="10"/>
      <c r="Q198" s="10"/>
      <c r="R198" s="10"/>
      <c r="S198" s="10"/>
      <c r="T198" s="10"/>
    </row>
    <row r="199" spans="1:20" ht="15.75" customHeight="1" x14ac:dyDescent="0.25">
      <c r="A199" s="10"/>
      <c r="B199" s="10"/>
      <c r="C199" s="10"/>
      <c r="D199" s="10"/>
      <c r="E199" s="10"/>
      <c r="F199" s="10"/>
      <c r="N199" s="10"/>
      <c r="O199" s="10"/>
      <c r="P199" s="10"/>
      <c r="Q199" s="10"/>
      <c r="R199" s="10"/>
      <c r="S199" s="10"/>
      <c r="T199" s="10"/>
    </row>
    <row r="200" spans="1:20" ht="15.75" customHeight="1" x14ac:dyDescent="0.25">
      <c r="A200" s="10"/>
      <c r="B200" s="10"/>
      <c r="C200" s="10"/>
      <c r="D200" s="10"/>
      <c r="E200" s="10"/>
      <c r="F200" s="10"/>
      <c r="N200" s="10"/>
      <c r="O200" s="10"/>
      <c r="P200" s="10"/>
      <c r="Q200" s="10"/>
      <c r="R200" s="10"/>
      <c r="S200" s="10"/>
      <c r="T200" s="10"/>
    </row>
    <row r="201" spans="1:20" ht="15.75" customHeight="1" x14ac:dyDescent="0.25">
      <c r="A201" s="10"/>
      <c r="B201" s="10"/>
      <c r="C201" s="10"/>
      <c r="D201" s="10"/>
      <c r="E201" s="10"/>
      <c r="F201" s="10"/>
      <c r="N201" s="10"/>
      <c r="O201" s="10"/>
      <c r="P201" s="10"/>
      <c r="Q201" s="10"/>
      <c r="R201" s="10"/>
      <c r="S201" s="10"/>
      <c r="T201" s="10"/>
    </row>
    <row r="202" spans="1:20" ht="15.75" customHeight="1" x14ac:dyDescent="0.25">
      <c r="A202" s="10"/>
      <c r="B202" s="10"/>
      <c r="C202" s="10"/>
      <c r="D202" s="10"/>
      <c r="E202" s="10"/>
      <c r="F202" s="10"/>
      <c r="N202" s="10"/>
      <c r="O202" s="10"/>
      <c r="P202" s="10"/>
      <c r="Q202" s="10"/>
      <c r="R202" s="10"/>
      <c r="S202" s="10"/>
      <c r="T202" s="10"/>
    </row>
    <row r="203" spans="1:20" ht="15.75" customHeight="1" x14ac:dyDescent="0.25">
      <c r="A203" s="10"/>
      <c r="B203" s="10"/>
      <c r="C203" s="10"/>
      <c r="D203" s="10"/>
      <c r="E203" s="10"/>
      <c r="F203" s="10"/>
      <c r="N203" s="10"/>
      <c r="O203" s="10"/>
      <c r="P203" s="10"/>
      <c r="Q203" s="10"/>
      <c r="R203" s="10"/>
      <c r="S203" s="10"/>
      <c r="T203" s="10"/>
    </row>
    <row r="204" spans="1:20" ht="15.75" customHeight="1" x14ac:dyDescent="0.25">
      <c r="A204" s="10"/>
      <c r="B204" s="10"/>
      <c r="C204" s="10"/>
      <c r="D204" s="10"/>
      <c r="E204" s="10"/>
      <c r="F204" s="10"/>
      <c r="N204" s="10"/>
      <c r="O204" s="10"/>
      <c r="P204" s="10"/>
      <c r="Q204" s="10"/>
      <c r="R204" s="10"/>
      <c r="S204" s="10"/>
      <c r="T204" s="10"/>
    </row>
    <row r="205" spans="1:20" ht="15.75" customHeight="1" x14ac:dyDescent="0.25">
      <c r="A205" s="10"/>
      <c r="B205" s="10"/>
      <c r="C205" s="10"/>
      <c r="D205" s="10"/>
      <c r="E205" s="10"/>
      <c r="F205" s="10"/>
      <c r="N205" s="10"/>
      <c r="O205" s="10"/>
      <c r="P205" s="10"/>
      <c r="Q205" s="10"/>
      <c r="R205" s="10"/>
      <c r="S205" s="10"/>
      <c r="T205" s="10"/>
    </row>
    <row r="206" spans="1:20" ht="15.75" customHeight="1" x14ac:dyDescent="0.25">
      <c r="A206" s="10"/>
      <c r="B206" s="10"/>
      <c r="C206" s="10"/>
      <c r="D206" s="10"/>
      <c r="E206" s="10"/>
      <c r="F206" s="10"/>
      <c r="N206" s="10"/>
      <c r="O206" s="10"/>
      <c r="P206" s="10"/>
      <c r="Q206" s="10"/>
      <c r="R206" s="10"/>
      <c r="S206" s="10"/>
      <c r="T206" s="10"/>
    </row>
    <row r="207" spans="1:20" ht="15.75" customHeight="1" x14ac:dyDescent="0.25">
      <c r="A207" s="10"/>
      <c r="B207" s="10"/>
      <c r="C207" s="10"/>
      <c r="D207" s="10"/>
      <c r="E207" s="10"/>
      <c r="F207" s="10"/>
      <c r="N207" s="10"/>
      <c r="O207" s="10"/>
      <c r="P207" s="10"/>
      <c r="Q207" s="10"/>
      <c r="R207" s="10"/>
      <c r="S207" s="10"/>
      <c r="T207" s="10"/>
    </row>
    <row r="208" spans="1:20" ht="15.75" customHeight="1" x14ac:dyDescent="0.25">
      <c r="A208" s="10"/>
      <c r="B208" s="10"/>
      <c r="C208" s="10"/>
      <c r="D208" s="10"/>
      <c r="E208" s="10"/>
      <c r="F208" s="10"/>
      <c r="N208" s="10"/>
      <c r="O208" s="10"/>
      <c r="P208" s="10"/>
      <c r="Q208" s="10"/>
      <c r="R208" s="10"/>
      <c r="S208" s="10"/>
      <c r="T208" s="10"/>
    </row>
    <row r="209" spans="1:20" ht="15.75" customHeight="1" x14ac:dyDescent="0.25">
      <c r="A209" s="10"/>
      <c r="B209" s="10"/>
      <c r="C209" s="10"/>
      <c r="D209" s="10"/>
      <c r="E209" s="10"/>
      <c r="F209" s="10"/>
      <c r="N209" s="10"/>
      <c r="O209" s="10"/>
      <c r="P209" s="10"/>
      <c r="Q209" s="10"/>
      <c r="R209" s="10"/>
      <c r="S209" s="10"/>
      <c r="T209" s="10"/>
    </row>
    <row r="210" spans="1:20" ht="15.75" customHeight="1" x14ac:dyDescent="0.25">
      <c r="A210" s="10"/>
      <c r="B210" s="10"/>
      <c r="C210" s="10"/>
      <c r="D210" s="10"/>
      <c r="E210" s="10"/>
      <c r="F210" s="10"/>
      <c r="N210" s="10"/>
      <c r="O210" s="10"/>
      <c r="P210" s="10"/>
      <c r="Q210" s="10"/>
      <c r="R210" s="10"/>
      <c r="S210" s="10"/>
      <c r="T210" s="10"/>
    </row>
    <row r="211" spans="1:20" ht="15.75" customHeight="1" x14ac:dyDescent="0.25">
      <c r="A211" s="10"/>
      <c r="B211" s="10"/>
      <c r="C211" s="10"/>
      <c r="D211" s="10"/>
      <c r="E211" s="10"/>
      <c r="F211" s="10"/>
      <c r="N211" s="10"/>
      <c r="O211" s="10"/>
      <c r="P211" s="10"/>
      <c r="Q211" s="10"/>
      <c r="R211" s="10"/>
      <c r="S211" s="10"/>
      <c r="T211" s="10"/>
    </row>
    <row r="212" spans="1:20" ht="15.75" customHeight="1" x14ac:dyDescent="0.25">
      <c r="A212" s="10"/>
      <c r="B212" s="10"/>
      <c r="C212" s="10"/>
      <c r="D212" s="10"/>
      <c r="E212" s="10"/>
      <c r="F212" s="10"/>
      <c r="N212" s="10"/>
      <c r="O212" s="10"/>
      <c r="P212" s="10"/>
      <c r="Q212" s="10"/>
      <c r="R212" s="10"/>
      <c r="S212" s="10"/>
      <c r="T212" s="10"/>
    </row>
    <row r="213" spans="1:20" ht="15.75" customHeight="1" x14ac:dyDescent="0.25">
      <c r="A213" s="10"/>
      <c r="B213" s="10"/>
      <c r="C213" s="10"/>
      <c r="D213" s="10"/>
      <c r="E213" s="10"/>
      <c r="F213" s="10"/>
      <c r="N213" s="10"/>
      <c r="O213" s="10"/>
      <c r="P213" s="10"/>
      <c r="Q213" s="10"/>
      <c r="R213" s="10"/>
      <c r="S213" s="10"/>
      <c r="T213" s="10"/>
    </row>
    <row r="214" spans="1:20" ht="15.75" customHeight="1" x14ac:dyDescent="0.25">
      <c r="A214" s="10"/>
      <c r="B214" s="10"/>
      <c r="C214" s="10"/>
      <c r="D214" s="10"/>
      <c r="E214" s="10"/>
      <c r="F214" s="10"/>
      <c r="N214" s="10"/>
      <c r="O214" s="10"/>
      <c r="P214" s="10"/>
      <c r="Q214" s="10"/>
      <c r="R214" s="10"/>
      <c r="S214" s="10"/>
      <c r="T214" s="10"/>
    </row>
    <row r="215" spans="1:20" ht="15.75" customHeight="1" x14ac:dyDescent="0.25">
      <c r="A215" s="10"/>
      <c r="B215" s="10"/>
      <c r="C215" s="10"/>
      <c r="D215" s="10"/>
      <c r="E215" s="10"/>
      <c r="F215" s="10"/>
      <c r="N215" s="10"/>
      <c r="O215" s="10"/>
      <c r="P215" s="10"/>
      <c r="Q215" s="10"/>
      <c r="R215" s="10"/>
      <c r="S215" s="10"/>
      <c r="T215" s="10"/>
    </row>
    <row r="216" spans="1:20" ht="15.75" customHeight="1" x14ac:dyDescent="0.25">
      <c r="A216" s="10"/>
      <c r="B216" s="10"/>
      <c r="C216" s="10"/>
      <c r="D216" s="10"/>
      <c r="E216" s="10"/>
      <c r="F216" s="10"/>
      <c r="N216" s="10"/>
      <c r="O216" s="10"/>
      <c r="P216" s="10"/>
      <c r="Q216" s="10"/>
      <c r="R216" s="10"/>
      <c r="S216" s="10"/>
      <c r="T216" s="10"/>
    </row>
    <row r="217" spans="1:20" ht="15.75" customHeight="1" x14ac:dyDescent="0.25">
      <c r="A217" s="10"/>
      <c r="B217" s="10"/>
      <c r="C217" s="10"/>
      <c r="D217" s="10"/>
      <c r="E217" s="10"/>
      <c r="F217" s="10"/>
      <c r="N217" s="10"/>
      <c r="O217" s="10"/>
      <c r="P217" s="10"/>
      <c r="Q217" s="10"/>
      <c r="R217" s="10"/>
      <c r="S217" s="10"/>
      <c r="T217" s="10"/>
    </row>
    <row r="218" spans="1:20" ht="15.75" customHeight="1" x14ac:dyDescent="0.25">
      <c r="A218" s="10"/>
      <c r="B218" s="10"/>
      <c r="C218" s="10"/>
      <c r="D218" s="10"/>
      <c r="E218" s="10"/>
      <c r="F218" s="10"/>
      <c r="N218" s="10"/>
      <c r="O218" s="10"/>
      <c r="P218" s="10"/>
      <c r="Q218" s="10"/>
      <c r="R218" s="10"/>
      <c r="S218" s="10"/>
      <c r="T218" s="10"/>
    </row>
    <row r="219" spans="1:20" ht="15.75" customHeight="1" x14ac:dyDescent="0.25">
      <c r="A219" s="10"/>
      <c r="B219" s="10"/>
      <c r="C219" s="10"/>
      <c r="D219" s="10"/>
      <c r="E219" s="10"/>
      <c r="F219" s="10"/>
      <c r="N219" s="10"/>
      <c r="O219" s="10"/>
      <c r="P219" s="10"/>
      <c r="Q219" s="10"/>
      <c r="R219" s="10"/>
      <c r="S219" s="10"/>
      <c r="T219" s="10"/>
    </row>
    <row r="220" spans="1:20" ht="15.75" customHeight="1" x14ac:dyDescent="0.25">
      <c r="N220" s="10"/>
      <c r="O220" s="10"/>
      <c r="P220" s="10"/>
      <c r="Q220" s="10"/>
      <c r="R220" s="10"/>
      <c r="S220" s="10"/>
      <c r="T220" s="10"/>
    </row>
    <row r="221" spans="1:20" ht="15.75" customHeight="1" x14ac:dyDescent="0.25">
      <c r="N221" s="10"/>
      <c r="O221" s="10"/>
      <c r="P221" s="10"/>
      <c r="Q221" s="10"/>
      <c r="R221" s="10"/>
      <c r="S221" s="10"/>
      <c r="T221" s="10"/>
    </row>
    <row r="222" spans="1:20" ht="15.75" customHeight="1" x14ac:dyDescent="0.25">
      <c r="N222" s="10"/>
      <c r="O222" s="10"/>
      <c r="P222" s="10"/>
      <c r="Q222" s="10"/>
      <c r="R222" s="10"/>
      <c r="S222" s="10"/>
      <c r="T222" s="10"/>
    </row>
    <row r="223" spans="1:20" ht="15.75" customHeight="1" x14ac:dyDescent="0.25">
      <c r="N223" s="10"/>
      <c r="O223" s="10"/>
      <c r="P223" s="10"/>
      <c r="Q223" s="10"/>
      <c r="R223" s="10"/>
      <c r="S223" s="10"/>
      <c r="T223" s="10"/>
    </row>
    <row r="224" spans="1:20" ht="15.75" customHeight="1" x14ac:dyDescent="0.25">
      <c r="N224" s="10"/>
      <c r="O224" s="10"/>
      <c r="P224" s="10"/>
      <c r="Q224" s="10"/>
      <c r="R224" s="10"/>
      <c r="S224" s="10"/>
      <c r="T224" s="10"/>
    </row>
    <row r="225" spans="14:20" ht="15.75" customHeight="1" x14ac:dyDescent="0.25">
      <c r="N225" s="10"/>
      <c r="O225" s="10"/>
      <c r="P225" s="10"/>
      <c r="Q225" s="10"/>
      <c r="R225" s="10"/>
      <c r="S225" s="10"/>
      <c r="T225" s="10"/>
    </row>
    <row r="226" spans="14:20" ht="15.75" customHeight="1" x14ac:dyDescent="0.25">
      <c r="N226" s="10"/>
      <c r="O226" s="10"/>
      <c r="P226" s="10"/>
      <c r="Q226" s="10"/>
      <c r="R226" s="10"/>
      <c r="S226" s="10"/>
      <c r="T226" s="10"/>
    </row>
    <row r="227" spans="14:20" ht="15.75" customHeight="1" x14ac:dyDescent="0.25">
      <c r="N227" s="10"/>
      <c r="O227" s="10"/>
      <c r="P227" s="10"/>
      <c r="Q227" s="10"/>
      <c r="R227" s="10"/>
      <c r="S227" s="10"/>
      <c r="T227" s="10"/>
    </row>
    <row r="228" spans="14:20" ht="15.75" customHeight="1" x14ac:dyDescent="0.25">
      <c r="N228" s="10"/>
      <c r="O228" s="10"/>
      <c r="P228" s="10"/>
      <c r="Q228" s="10"/>
      <c r="R228" s="10"/>
      <c r="S228" s="10"/>
      <c r="T228" s="10"/>
    </row>
    <row r="229" spans="14:20" ht="15.75" customHeight="1" x14ac:dyDescent="0.25">
      <c r="N229" s="10"/>
      <c r="O229" s="10"/>
      <c r="P229" s="10"/>
      <c r="Q229" s="10"/>
      <c r="R229" s="10"/>
      <c r="S229" s="10"/>
      <c r="T229" s="10"/>
    </row>
    <row r="230" spans="14:20" ht="15.75" customHeight="1" x14ac:dyDescent="0.25">
      <c r="N230" s="10"/>
      <c r="O230" s="10"/>
      <c r="P230" s="10"/>
      <c r="Q230" s="10"/>
      <c r="R230" s="10"/>
      <c r="S230" s="10"/>
      <c r="T230" s="10"/>
    </row>
    <row r="231" spans="14:20" ht="15.75" customHeight="1" x14ac:dyDescent="0.25">
      <c r="N231" s="10"/>
      <c r="O231" s="10"/>
      <c r="P231" s="10"/>
      <c r="Q231" s="10"/>
      <c r="R231" s="10"/>
      <c r="S231" s="10"/>
      <c r="T231" s="10"/>
    </row>
    <row r="232" spans="14:20" ht="15.75" customHeight="1" x14ac:dyDescent="0.25">
      <c r="N232" s="10"/>
      <c r="O232" s="10"/>
      <c r="P232" s="10"/>
      <c r="Q232" s="10"/>
      <c r="R232" s="10"/>
      <c r="S232" s="10"/>
      <c r="T232" s="10"/>
    </row>
    <row r="233" spans="14:20" ht="15.75" customHeight="1" x14ac:dyDescent="0.25"/>
    <row r="234" spans="14:20" ht="15.75" customHeight="1" x14ac:dyDescent="0.25"/>
    <row r="235" spans="14:20" ht="15.75" customHeight="1" x14ac:dyDescent="0.25"/>
    <row r="236" spans="14:20" ht="15.75" customHeight="1" x14ac:dyDescent="0.25"/>
    <row r="237" spans="14:20" ht="15.75" customHeight="1" x14ac:dyDescent="0.25"/>
    <row r="238" spans="14:20" ht="15.75" customHeight="1" x14ac:dyDescent="0.25"/>
    <row r="239" spans="14:20" ht="15.75" customHeight="1" x14ac:dyDescent="0.25"/>
    <row r="240" spans="14:2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G34:H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Monjes</dc:creator>
  <cp:lastModifiedBy>Javier Monjes</cp:lastModifiedBy>
  <dcterms:created xsi:type="dcterms:W3CDTF">2024-12-18T14:14:42Z</dcterms:created>
  <dcterms:modified xsi:type="dcterms:W3CDTF">2024-12-18T14:56:18Z</dcterms:modified>
</cp:coreProperties>
</file>