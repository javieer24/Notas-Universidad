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Escritorio\Users\U\Estudio\USAC\Semestres\2024\VacasDic\Io2\P2\"/>
    </mc:Choice>
  </mc:AlternateContent>
  <xr:revisionPtr revIDLastSave="0" documentId="13_ncr:1_{DC31893F-1D3A-40F1-A4C4-9C235476A306}" xr6:coauthVersionLast="47" xr6:coauthVersionMax="47" xr10:uidLastSave="{00000000-0000-0000-0000-000000000000}"/>
  <bookViews>
    <workbookView xWindow="-120" yWindow="-120" windowWidth="29040" windowHeight="16440" xr2:uid="{2C75E6AF-229E-48A8-8338-287DA36391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4" i="1" l="1"/>
  <c r="L55" i="1"/>
  <c r="L56" i="1"/>
  <c r="J56" i="1"/>
  <c r="J55" i="1"/>
  <c r="J54" i="1"/>
  <c r="H31" i="1"/>
  <c r="H32" i="1"/>
  <c r="H33" i="1"/>
  <c r="H34" i="1"/>
  <c r="H30" i="1"/>
  <c r="K29" i="1"/>
  <c r="L46" i="1"/>
  <c r="M46" i="1"/>
  <c r="N46" i="1"/>
  <c r="O46" i="1"/>
  <c r="Q7" i="1"/>
  <c r="Q8" i="1"/>
  <c r="Q9" i="1"/>
  <c r="Q10" i="1"/>
  <c r="Q6" i="1"/>
  <c r="O45" i="1"/>
  <c r="G100" i="1" s="1"/>
  <c r="N45" i="1"/>
  <c r="F100" i="1" s="1"/>
  <c r="M45" i="1"/>
  <c r="E100" i="1" s="1"/>
  <c r="L45" i="1"/>
  <c r="D100" i="1" s="1"/>
  <c r="K45" i="1"/>
  <c r="C100" i="1" s="1"/>
  <c r="O44" i="1"/>
  <c r="G99" i="1" s="1"/>
  <c r="N44" i="1"/>
  <c r="F99" i="1" s="1"/>
  <c r="M44" i="1"/>
  <c r="E99" i="1" s="1"/>
  <c r="L44" i="1"/>
  <c r="D99" i="1" s="1"/>
  <c r="K44" i="1"/>
  <c r="C99" i="1" s="1"/>
  <c r="O43" i="1"/>
  <c r="G98" i="1" s="1"/>
  <c r="N43" i="1"/>
  <c r="F98" i="1" s="1"/>
  <c r="M43" i="1"/>
  <c r="E98" i="1" s="1"/>
  <c r="L43" i="1"/>
  <c r="D98" i="1" s="1"/>
  <c r="K43" i="1"/>
  <c r="C98" i="1" s="1"/>
  <c r="O42" i="1"/>
  <c r="G97" i="1" s="1"/>
  <c r="N42" i="1"/>
  <c r="F97" i="1" s="1"/>
  <c r="M42" i="1"/>
  <c r="E97" i="1" s="1"/>
  <c r="L42" i="1"/>
  <c r="D97" i="1" s="1"/>
  <c r="K42" i="1"/>
  <c r="C97" i="1" s="1"/>
  <c r="O41" i="1"/>
  <c r="G96" i="1" s="1"/>
  <c r="N41" i="1"/>
  <c r="F96" i="1" s="1"/>
  <c r="M41" i="1"/>
  <c r="E96" i="1" s="1"/>
  <c r="L41" i="1"/>
  <c r="D96" i="1" s="1"/>
  <c r="K41" i="1"/>
  <c r="C96" i="1" s="1"/>
  <c r="H45" i="1"/>
  <c r="H44" i="1"/>
  <c r="H43" i="1"/>
  <c r="H42" i="1"/>
  <c r="H41" i="1"/>
  <c r="K33" i="1"/>
  <c r="K32" i="1"/>
  <c r="K31" i="1"/>
  <c r="K30" i="1"/>
  <c r="K22" i="1" a="1"/>
  <c r="L26" i="1" s="1"/>
  <c r="H26" i="1"/>
  <c r="H25" i="1"/>
  <c r="H24" i="1"/>
  <c r="H23" i="1"/>
  <c r="H22" i="1"/>
  <c r="K46" i="1" l="1"/>
  <c r="C107" i="1" a="1"/>
  <c r="E110" i="1" s="1"/>
  <c r="K24" i="1"/>
  <c r="K25" i="1"/>
  <c r="N23" i="1"/>
  <c r="O26" i="1"/>
  <c r="N24" i="1"/>
  <c r="L22" i="1"/>
  <c r="M25" i="1"/>
  <c r="O23" i="1"/>
  <c r="L25" i="1"/>
  <c r="M22" i="1"/>
  <c r="N25" i="1"/>
  <c r="M26" i="1"/>
  <c r="M23" i="1"/>
  <c r="K22" i="1"/>
  <c r="N22" i="1"/>
  <c r="O25" i="1"/>
  <c r="N26" i="1"/>
  <c r="L24" i="1"/>
  <c r="M24" i="1"/>
  <c r="O24" i="1"/>
  <c r="O22" i="1"/>
  <c r="K26" i="1"/>
  <c r="L23" i="1"/>
  <c r="K23" i="1"/>
  <c r="P26" i="1" l="1"/>
  <c r="P23" i="1"/>
  <c r="F112" i="1"/>
  <c r="C111" i="1"/>
  <c r="D111" i="1"/>
  <c r="E109" i="1"/>
  <c r="F108" i="1"/>
  <c r="G108" i="1"/>
  <c r="G110" i="1"/>
  <c r="E111" i="1"/>
  <c r="C109" i="1"/>
  <c r="H111" i="1"/>
  <c r="F109" i="1"/>
  <c r="H110" i="1"/>
  <c r="F107" i="1"/>
  <c r="C112" i="1"/>
  <c r="D112" i="1"/>
  <c r="C107" i="1"/>
  <c r="D110" i="1"/>
  <c r="G111" i="1"/>
  <c r="C110" i="1"/>
  <c r="H112" i="1"/>
  <c r="H108" i="1"/>
  <c r="E112" i="1"/>
  <c r="E108" i="1"/>
  <c r="F110" i="1"/>
  <c r="H107" i="1"/>
  <c r="F111" i="1"/>
  <c r="C108" i="1"/>
  <c r="G107" i="1"/>
  <c r="H109" i="1"/>
  <c r="D109" i="1"/>
  <c r="E107" i="1"/>
  <c r="G112" i="1"/>
  <c r="G109" i="1"/>
  <c r="D108" i="1"/>
  <c r="D107" i="1"/>
  <c r="P24" i="1"/>
  <c r="P22" i="1"/>
  <c r="C30" i="1" a="1"/>
  <c r="P25" i="1"/>
  <c r="C117" i="1" l="1" a="1"/>
  <c r="E34" i="1"/>
  <c r="D31" i="1"/>
  <c r="C32" i="1"/>
  <c r="F34" i="1"/>
  <c r="D34" i="1"/>
  <c r="C31" i="1"/>
  <c r="D30" i="1"/>
  <c r="E31" i="1"/>
  <c r="C34" i="1"/>
  <c r="G30" i="1"/>
  <c r="E33" i="1"/>
  <c r="G33" i="1"/>
  <c r="F30" i="1"/>
  <c r="F33" i="1"/>
  <c r="E30" i="1"/>
  <c r="G31" i="1"/>
  <c r="F31" i="1"/>
  <c r="D33" i="1"/>
  <c r="C30" i="1"/>
  <c r="C33" i="1"/>
  <c r="G32" i="1"/>
  <c r="D32" i="1"/>
  <c r="F32" i="1"/>
  <c r="G34" i="1"/>
  <c r="E32" i="1"/>
  <c r="C122" i="1"/>
  <c r="C117" i="1"/>
  <c r="F117" i="1" s="1"/>
  <c r="H117" i="1" s="1"/>
  <c r="C119" i="1"/>
  <c r="F119" i="1" s="1"/>
  <c r="H119" i="1" s="1"/>
  <c r="C121" i="1"/>
  <c r="F121" i="1" s="1"/>
  <c r="H121" i="1" s="1"/>
  <c r="C120" i="1"/>
  <c r="F120" i="1" s="1"/>
  <c r="H120" i="1" s="1"/>
  <c r="C118" i="1"/>
  <c r="F118" i="1" s="1"/>
  <c r="H118" i="1" s="1"/>
  <c r="N29" i="1" l="1" a="1"/>
  <c r="N29" i="1" l="1"/>
  <c r="N30" i="1"/>
  <c r="N33" i="1"/>
  <c r="N32" i="1"/>
  <c r="N31" i="1"/>
</calcChain>
</file>

<file path=xl/sharedStrings.xml><?xml version="1.0" encoding="utf-8"?>
<sst xmlns="http://schemas.openxmlformats.org/spreadsheetml/2006/main" count="144" uniqueCount="32">
  <si>
    <t>6 de enero</t>
  </si>
  <si>
    <t>D1</t>
  </si>
  <si>
    <t>D2</t>
  </si>
  <si>
    <t>D3</t>
  </si>
  <si>
    <t>D4</t>
  </si>
  <si>
    <t>D5</t>
  </si>
  <si>
    <t>6 de febrero</t>
  </si>
  <si>
    <t>6 de marzo</t>
  </si>
  <si>
    <t>Respuestas</t>
  </si>
  <si>
    <t>Proporcion de clientes para 6 de marzo</t>
  </si>
  <si>
    <t>Para D1</t>
  </si>
  <si>
    <t>o</t>
  </si>
  <si>
    <t>Para D3</t>
  </si>
  <si>
    <t>Para D5</t>
  </si>
  <si>
    <t>Matriz original (6 de enero)</t>
  </si>
  <si>
    <t>Matriz Identidad</t>
  </si>
  <si>
    <t>I-P</t>
  </si>
  <si>
    <t>(I-P) ^ -1</t>
  </si>
  <si>
    <t>V Resultante</t>
  </si>
  <si>
    <t xml:space="preserve">(I-P) ^ -1 * R   </t>
  </si>
  <si>
    <t>Vector de probabilidad estable</t>
  </si>
  <si>
    <t>Para D2</t>
  </si>
  <si>
    <t>Para D4</t>
  </si>
  <si>
    <t xml:space="preserve">Matriz </t>
  </si>
  <si>
    <t>A)</t>
  </si>
  <si>
    <t>Sabemos:</t>
  </si>
  <si>
    <t>B)</t>
  </si>
  <si>
    <t>Matriz trasnpuesta</t>
  </si>
  <si>
    <r>
      <t>A</t>
    </r>
    <r>
      <rPr>
        <vertAlign val="superscript"/>
        <sz val="10"/>
        <color theme="1"/>
        <rFont val="Aptos Narrow"/>
        <family val="2"/>
        <scheme val="minor"/>
      </rPr>
      <t>0</t>
    </r>
  </si>
  <si>
    <r>
      <t>A</t>
    </r>
    <r>
      <rPr>
        <vertAlign val="superscript"/>
        <sz val="10"/>
        <color theme="1"/>
        <rFont val="Aptos Narrow"/>
        <family val="2"/>
        <scheme val="minor"/>
      </rPr>
      <t>0</t>
    </r>
    <r>
      <rPr>
        <sz val="10"/>
        <color theme="1"/>
        <rFont val="Aptos Narrow"/>
        <scheme val="minor"/>
      </rPr>
      <t xml:space="preserve"> * P</t>
    </r>
    <r>
      <rPr>
        <vertAlign val="superscript"/>
        <sz val="10"/>
        <color theme="1"/>
        <rFont val="Aptos Narrow"/>
        <family val="2"/>
        <scheme val="minor"/>
      </rPr>
      <t>n</t>
    </r>
  </si>
  <si>
    <t>→</t>
  </si>
  <si>
    <t>¿Cuál es la proporción de clientes para los talleres D1, D3 y D5 el 6 de Marzo?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</si>
</sst>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b/>
      <sz val="13"/>
      <color theme="1"/>
      <name val="Aptos Narrow"/>
      <scheme val="minor"/>
    </font>
    <font>
      <sz val="10"/>
      <name val="Arial"/>
    </font>
    <font>
      <vertAlign val="superscript"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theme="5" tint="0.39997558519241921"/>
        <bgColor theme="4"/>
      </patternFill>
    </fill>
    <fill>
      <patternFill patternType="solid">
        <fgColor theme="4" tint="0.79998168889431442"/>
        <bgColor theme="4"/>
      </patternFill>
    </fill>
    <fill>
      <patternFill patternType="solid">
        <fgColor theme="9" tint="0.79998168889431442"/>
        <bgColor rgb="FFE6B8AF"/>
      </patternFill>
    </fill>
    <fill>
      <patternFill patternType="solid">
        <fgColor theme="5" tint="0.79998168889431442"/>
        <bgColor rgb="FFD9EAD3"/>
      </patternFill>
    </fill>
    <fill>
      <patternFill patternType="solid">
        <fgColor theme="2"/>
        <bgColor rgb="FFC9DAF8"/>
      </patternFill>
    </fill>
    <fill>
      <patternFill patternType="solid">
        <fgColor theme="8" tint="0.79998168889431442"/>
        <bgColor rgb="FFD9D2E9"/>
      </patternFill>
    </fill>
    <fill>
      <patternFill patternType="solid">
        <fgColor theme="7" tint="0.79998168889431442"/>
        <bgColor rgb="FFFCE5CD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rgb="FF6AA84F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1" xfId="0" applyFont="1" applyBorder="1"/>
    <xf numFmtId="0" fontId="1" fillId="0" borderId="3" xfId="0" applyFont="1" applyBorder="1"/>
    <xf numFmtId="0" fontId="1" fillId="0" borderId="0" xfId="0" applyFont="1"/>
    <xf numFmtId="0" fontId="2" fillId="2" borderId="5" xfId="0" applyFont="1" applyFill="1" applyBorder="1" applyAlignment="1">
      <alignment horizontal="center"/>
    </xf>
    <xf numFmtId="0" fontId="3" fillId="0" borderId="6" xfId="0" applyFont="1" applyBorder="1"/>
    <xf numFmtId="0" fontId="3" fillId="0" borderId="2" xfId="0" applyFont="1" applyBorder="1"/>
    <xf numFmtId="0" fontId="1" fillId="2" borderId="7" xfId="0" applyFont="1" applyFill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4" fontId="1" fillId="0" borderId="3" xfId="0" applyNumberFormat="1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10" fontId="1" fillId="2" borderId="2" xfId="0" applyNumberFormat="1" applyFont="1" applyFill="1" applyBorder="1" applyAlignment="1">
      <alignment horizontal="center"/>
    </xf>
    <xf numFmtId="4" fontId="1" fillId="0" borderId="0" xfId="0" applyNumberFormat="1" applyFont="1" applyAlignment="1">
      <alignment horizontal="center"/>
    </xf>
    <xf numFmtId="1" fontId="1" fillId="0" borderId="3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2" borderId="10" xfId="0" applyFont="1" applyFill="1" applyBorder="1" applyAlignment="1">
      <alignment horizontal="center"/>
    </xf>
    <xf numFmtId="164" fontId="1" fillId="2" borderId="11" xfId="0" applyNumberFormat="1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0" fontId="0" fillId="0" borderId="12" xfId="0" applyBorder="1"/>
    <xf numFmtId="0" fontId="1" fillId="3" borderId="0" xfId="0" applyFont="1" applyFill="1"/>
    <xf numFmtId="0" fontId="1" fillId="0" borderId="5" xfId="0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" fontId="1" fillId="0" borderId="12" xfId="0" applyNumberFormat="1" applyFont="1" applyBorder="1" applyAlignment="1">
      <alignment horizontal="center"/>
    </xf>
    <xf numFmtId="0" fontId="1" fillId="4" borderId="0" xfId="0" applyFont="1" applyFill="1"/>
    <xf numFmtId="0" fontId="1" fillId="5" borderId="3" xfId="0" applyFont="1" applyFill="1" applyBorder="1" applyAlignment="1">
      <alignment horizontal="center"/>
    </xf>
    <xf numFmtId="2" fontId="1" fillId="6" borderId="3" xfId="0" applyNumberFormat="1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2" fontId="1" fillId="7" borderId="3" xfId="0" applyNumberFormat="1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2" fontId="1" fillId="8" borderId="3" xfId="0" applyNumberFormat="1" applyFont="1" applyFill="1" applyBorder="1" applyAlignment="1">
      <alignment horizontal="center"/>
    </xf>
    <xf numFmtId="2" fontId="1" fillId="5" borderId="3" xfId="0" applyNumberFormat="1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2" fontId="1" fillId="9" borderId="3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2" fontId="1" fillId="0" borderId="12" xfId="0" applyNumberFormat="1" applyFont="1" applyBorder="1" applyAlignment="1">
      <alignment horizontal="center"/>
    </xf>
    <xf numFmtId="0" fontId="1" fillId="0" borderId="5" xfId="0" applyFont="1" applyBorder="1"/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0" fillId="0" borderId="12" xfId="0" applyBorder="1"/>
    <xf numFmtId="0" fontId="0" fillId="10" borderId="0" xfId="0" applyFill="1" applyAlignment="1">
      <alignment horizontal="center"/>
    </xf>
    <xf numFmtId="4" fontId="1" fillId="0" borderId="4" xfId="0" applyNumberFormat="1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1" fillId="0" borderId="4" xfId="0" applyFont="1" applyBorder="1"/>
    <xf numFmtId="0" fontId="2" fillId="11" borderId="5" xfId="0" applyFont="1" applyFill="1" applyBorder="1" applyAlignment="1">
      <alignment horizontal="center"/>
    </xf>
    <xf numFmtId="0" fontId="3" fillId="12" borderId="6" xfId="0" applyFont="1" applyFill="1" applyBorder="1"/>
    <xf numFmtId="0" fontId="3" fillId="12" borderId="2" xfId="0" applyFont="1" applyFill="1" applyBorder="1"/>
    <xf numFmtId="0" fontId="1" fillId="11" borderId="7" xfId="0" applyFont="1" applyFill="1" applyBorder="1" applyAlignment="1">
      <alignment horizontal="center"/>
    </xf>
    <xf numFmtId="0" fontId="3" fillId="12" borderId="8" xfId="0" applyFont="1" applyFill="1" applyBorder="1"/>
    <xf numFmtId="0" fontId="3" fillId="12" borderId="9" xfId="0" applyFont="1" applyFill="1" applyBorder="1"/>
    <xf numFmtId="0" fontId="5" fillId="11" borderId="12" xfId="0" applyFont="1" applyFill="1" applyBorder="1" applyAlignment="1">
      <alignment horizontal="center"/>
    </xf>
    <xf numFmtId="0" fontId="1" fillId="11" borderId="12" xfId="0" applyFont="1" applyFill="1" applyBorder="1" applyAlignment="1">
      <alignment horizontal="center"/>
    </xf>
    <xf numFmtId="10" fontId="1" fillId="11" borderId="12" xfId="0" applyNumberFormat="1" applyFont="1" applyFill="1" applyBorder="1" applyAlignment="1">
      <alignment horizontal="center"/>
    </xf>
    <xf numFmtId="4" fontId="1" fillId="11" borderId="1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9</xdr:col>
      <xdr:colOff>19051</xdr:colOff>
      <xdr:row>16</xdr:row>
      <xdr:rowOff>136792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9D73091-862A-17C9-B504-3E14CD609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6877050" cy="31847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687B5-21C7-475E-BE8A-ED3743B0E069}">
  <dimension ref="B3:Q122"/>
  <sheetViews>
    <sheetView tabSelected="1" topLeftCell="A32" zoomScale="145" zoomScaleNormal="145" workbookViewId="0">
      <selection activeCell="I51" sqref="I51"/>
    </sheetView>
  </sheetViews>
  <sheetFormatPr baseColWidth="10" defaultRowHeight="15" x14ac:dyDescent="0.25"/>
  <sheetData>
    <row r="3" spans="11:17" x14ac:dyDescent="0.25">
      <c r="K3" t="s">
        <v>23</v>
      </c>
      <c r="L3" t="s">
        <v>25</v>
      </c>
    </row>
    <row r="5" spans="11:17" x14ac:dyDescent="0.25">
      <c r="K5" s="50"/>
      <c r="L5" s="50" t="s">
        <v>1</v>
      </c>
      <c r="M5" s="50" t="s">
        <v>2</v>
      </c>
      <c r="N5" s="50" t="s">
        <v>3</v>
      </c>
      <c r="O5" s="50" t="s">
        <v>4</v>
      </c>
      <c r="P5" s="50" t="s">
        <v>5</v>
      </c>
    </row>
    <row r="6" spans="11:17" x14ac:dyDescent="0.25">
      <c r="K6" s="50" t="s">
        <v>1</v>
      </c>
      <c r="L6" s="36">
        <v>0.55000000000000004</v>
      </c>
      <c r="M6" s="36">
        <v>0.17</v>
      </c>
      <c r="N6" s="36">
        <v>0.15</v>
      </c>
      <c r="O6" s="36">
        <v>7.0000000000000007E-2</v>
      </c>
      <c r="P6" s="36">
        <v>0.06</v>
      </c>
      <c r="Q6" s="32">
        <f>SUM(L6:P6)</f>
        <v>1.0000000000000002</v>
      </c>
    </row>
    <row r="7" spans="11:17" x14ac:dyDescent="0.25">
      <c r="K7" s="50" t="s">
        <v>2</v>
      </c>
      <c r="L7" s="36">
        <v>0.53</v>
      </c>
      <c r="M7" s="36">
        <v>0.08</v>
      </c>
      <c r="N7" s="36">
        <v>0.11</v>
      </c>
      <c r="O7" s="36">
        <v>0.12</v>
      </c>
      <c r="P7" s="36">
        <v>0.16</v>
      </c>
      <c r="Q7" s="32">
        <f t="shared" ref="Q7:Q10" si="0">SUM(L7:P7)</f>
        <v>1</v>
      </c>
    </row>
    <row r="8" spans="11:17" x14ac:dyDescent="0.25">
      <c r="K8" s="50" t="s">
        <v>3</v>
      </c>
      <c r="L8" s="51">
        <v>0.3</v>
      </c>
      <c r="M8" s="36">
        <v>0.25</v>
      </c>
      <c r="N8" s="36">
        <v>0.25</v>
      </c>
      <c r="O8" s="36">
        <v>0.08</v>
      </c>
      <c r="P8" s="36">
        <v>0.12</v>
      </c>
      <c r="Q8" s="32">
        <f t="shared" si="0"/>
        <v>1</v>
      </c>
    </row>
    <row r="9" spans="11:17" x14ac:dyDescent="0.25">
      <c r="K9" s="50" t="s">
        <v>4</v>
      </c>
      <c r="L9" s="36">
        <v>0.12</v>
      </c>
      <c r="M9" s="51">
        <v>0.4</v>
      </c>
      <c r="N9" s="36">
        <v>0.15</v>
      </c>
      <c r="O9" s="36">
        <v>0.33</v>
      </c>
      <c r="P9" s="51">
        <v>0</v>
      </c>
      <c r="Q9" s="32">
        <f t="shared" si="0"/>
        <v>1</v>
      </c>
    </row>
    <row r="10" spans="11:17" x14ac:dyDescent="0.25">
      <c r="K10" s="50" t="s">
        <v>5</v>
      </c>
      <c r="L10" s="36">
        <v>0.15</v>
      </c>
      <c r="M10" s="36">
        <v>0.15</v>
      </c>
      <c r="N10" s="36">
        <v>0.15</v>
      </c>
      <c r="O10" s="36">
        <v>0.15</v>
      </c>
      <c r="P10" s="36">
        <v>0.4</v>
      </c>
      <c r="Q10" s="32">
        <f t="shared" si="0"/>
        <v>1</v>
      </c>
    </row>
    <row r="18" spans="2:16" x14ac:dyDescent="0.25">
      <c r="B18" s="33" t="s">
        <v>24</v>
      </c>
      <c r="C18" s="56" t="s">
        <v>31</v>
      </c>
      <c r="D18" s="56"/>
      <c r="E18" s="56"/>
      <c r="F18" s="56"/>
      <c r="G18" s="56"/>
      <c r="H18" s="56"/>
    </row>
    <row r="20" spans="2:16" x14ac:dyDescent="0.25">
      <c r="B20" s="54" t="s">
        <v>0</v>
      </c>
      <c r="C20" s="54"/>
      <c r="D20" s="54"/>
      <c r="E20" s="54"/>
      <c r="F20" s="54"/>
      <c r="G20" s="54"/>
      <c r="H20" s="54"/>
      <c r="J20" s="54" t="s">
        <v>6</v>
      </c>
      <c r="K20" s="54"/>
      <c r="L20" s="54"/>
      <c r="M20" s="54"/>
      <c r="N20" s="54"/>
      <c r="O20" s="54"/>
      <c r="P20" s="54"/>
    </row>
    <row r="21" spans="2:16" x14ac:dyDescent="0.25">
      <c r="B21" s="3"/>
      <c r="C21" s="3" t="s">
        <v>1</v>
      </c>
      <c r="D21" s="7" t="s">
        <v>2</v>
      </c>
      <c r="E21" s="7" t="s">
        <v>3</v>
      </c>
      <c r="F21" s="7" t="s">
        <v>4</v>
      </c>
      <c r="G21" s="7" t="s">
        <v>5</v>
      </c>
      <c r="H21" s="6"/>
      <c r="J21" s="10"/>
      <c r="K21" s="3" t="s">
        <v>1</v>
      </c>
      <c r="L21" s="7" t="s">
        <v>2</v>
      </c>
      <c r="M21" s="7" t="s">
        <v>3</v>
      </c>
      <c r="N21" s="7" t="s">
        <v>4</v>
      </c>
      <c r="O21" s="7" t="s">
        <v>5</v>
      </c>
    </row>
    <row r="22" spans="2:16" x14ac:dyDescent="0.25">
      <c r="B22" s="7" t="s">
        <v>1</v>
      </c>
      <c r="C22" s="5">
        <v>0.55000000000000004</v>
      </c>
      <c r="D22" s="5">
        <v>0.17</v>
      </c>
      <c r="E22" s="5">
        <v>0.15</v>
      </c>
      <c r="F22" s="5">
        <v>7.0000000000000007E-2</v>
      </c>
      <c r="G22" s="34">
        <v>0.06</v>
      </c>
      <c r="H22" s="36">
        <f t="shared" ref="H22:H26" si="1">SUM(C22:G22)</f>
        <v>1.0000000000000002</v>
      </c>
      <c r="J22" s="7" t="s">
        <v>1</v>
      </c>
      <c r="K22" s="11">
        <f t="array" ref="K22:O26">MMULT(C22:G26,C22:G26)</f>
        <v>0.45500000000000007</v>
      </c>
      <c r="L22" s="11">
        <v>0.18160000000000001</v>
      </c>
      <c r="M22" s="11">
        <v>0.15820000000000004</v>
      </c>
      <c r="N22" s="11">
        <v>0.10299999999999999</v>
      </c>
      <c r="O22" s="52">
        <v>0.10220000000000001</v>
      </c>
      <c r="P22" s="53">
        <f t="shared" ref="P22:P26" si="2">SUM(K22:O22)</f>
        <v>1</v>
      </c>
    </row>
    <row r="23" spans="2:16" x14ac:dyDescent="0.25">
      <c r="B23" s="5" t="s">
        <v>2</v>
      </c>
      <c r="C23" s="5">
        <v>0.53</v>
      </c>
      <c r="D23" s="5">
        <v>0.08</v>
      </c>
      <c r="E23" s="5">
        <v>0.11</v>
      </c>
      <c r="F23" s="5">
        <v>0.12</v>
      </c>
      <c r="G23" s="34">
        <v>0.16</v>
      </c>
      <c r="H23" s="36">
        <f t="shared" si="1"/>
        <v>1</v>
      </c>
      <c r="J23" s="5" t="s">
        <v>2</v>
      </c>
      <c r="K23" s="11">
        <v>0.40530000000000005</v>
      </c>
      <c r="L23" s="11">
        <v>0.19600000000000001</v>
      </c>
      <c r="M23" s="11">
        <v>0.1578</v>
      </c>
      <c r="N23" s="11">
        <v>0.11910000000000001</v>
      </c>
      <c r="O23" s="52">
        <v>0.12180000000000001</v>
      </c>
      <c r="P23" s="53">
        <f t="shared" si="2"/>
        <v>1</v>
      </c>
    </row>
    <row r="24" spans="2:16" x14ac:dyDescent="0.25">
      <c r="B24" s="5" t="s">
        <v>3</v>
      </c>
      <c r="C24" s="8">
        <v>0.3</v>
      </c>
      <c r="D24" s="5">
        <v>0.25</v>
      </c>
      <c r="E24" s="5">
        <v>0.25</v>
      </c>
      <c r="F24" s="5">
        <v>0.08</v>
      </c>
      <c r="G24" s="34">
        <v>0.12</v>
      </c>
      <c r="H24" s="37">
        <f t="shared" si="1"/>
        <v>1</v>
      </c>
      <c r="J24" s="5" t="s">
        <v>3</v>
      </c>
      <c r="K24" s="11">
        <v>0.40010000000000001</v>
      </c>
      <c r="L24" s="11">
        <v>0.1835</v>
      </c>
      <c r="M24" s="11">
        <v>0.16500000000000001</v>
      </c>
      <c r="N24" s="11">
        <v>0.11540000000000002</v>
      </c>
      <c r="O24" s="52">
        <v>0.13600000000000001</v>
      </c>
      <c r="P24" s="53">
        <f t="shared" si="2"/>
        <v>1</v>
      </c>
    </row>
    <row r="25" spans="2:16" x14ac:dyDescent="0.25">
      <c r="B25" s="5" t="s">
        <v>4</v>
      </c>
      <c r="C25" s="5">
        <v>0.12</v>
      </c>
      <c r="D25" s="8">
        <v>0.4</v>
      </c>
      <c r="E25" s="5">
        <v>0.15</v>
      </c>
      <c r="F25" s="5">
        <v>0.33</v>
      </c>
      <c r="G25" s="35">
        <v>0</v>
      </c>
      <c r="H25" s="36">
        <f t="shared" si="1"/>
        <v>1</v>
      </c>
      <c r="J25" s="5" t="s">
        <v>4</v>
      </c>
      <c r="K25" s="11">
        <v>0.36260000000000003</v>
      </c>
      <c r="L25" s="11">
        <v>0.22190000000000001</v>
      </c>
      <c r="M25" s="11">
        <v>0.14900000000000002</v>
      </c>
      <c r="N25" s="11">
        <v>0.17730000000000001</v>
      </c>
      <c r="O25" s="52">
        <v>8.9200000000000002E-2</v>
      </c>
      <c r="P25" s="53">
        <f t="shared" si="2"/>
        <v>1</v>
      </c>
    </row>
    <row r="26" spans="2:16" x14ac:dyDescent="0.25">
      <c r="B26" s="5" t="s">
        <v>5</v>
      </c>
      <c r="C26" s="5">
        <v>0.15</v>
      </c>
      <c r="D26" s="5">
        <v>0.15</v>
      </c>
      <c r="E26" s="5">
        <v>0.15</v>
      </c>
      <c r="F26" s="5">
        <v>0.15</v>
      </c>
      <c r="G26" s="34">
        <v>0.4</v>
      </c>
      <c r="H26" s="36">
        <f t="shared" si="1"/>
        <v>1</v>
      </c>
      <c r="J26" s="5" t="s">
        <v>5</v>
      </c>
      <c r="K26" s="11">
        <v>0.28500000000000003</v>
      </c>
      <c r="L26" s="11">
        <v>0.19500000000000001</v>
      </c>
      <c r="M26" s="11">
        <v>0.159</v>
      </c>
      <c r="N26" s="11">
        <v>0.15</v>
      </c>
      <c r="O26" s="52">
        <v>0.21100000000000002</v>
      </c>
      <c r="P26" s="53">
        <f t="shared" si="2"/>
        <v>1</v>
      </c>
    </row>
    <row r="28" spans="2:16" x14ac:dyDescent="0.25">
      <c r="B28" s="54" t="s">
        <v>7</v>
      </c>
      <c r="C28" s="54"/>
      <c r="D28" s="54"/>
      <c r="E28" s="54"/>
      <c r="F28" s="54"/>
      <c r="G28" s="54"/>
      <c r="H28" s="54"/>
      <c r="J28" s="58" t="s">
        <v>28</v>
      </c>
      <c r="K28" s="55"/>
      <c r="L28" s="49" t="s">
        <v>30</v>
      </c>
      <c r="M28" s="58" t="s">
        <v>29</v>
      </c>
      <c r="N28" s="55"/>
    </row>
    <row r="29" spans="2:16" x14ac:dyDescent="0.25">
      <c r="B29" s="10"/>
      <c r="C29" s="3" t="s">
        <v>1</v>
      </c>
      <c r="D29" s="7" t="s">
        <v>2</v>
      </c>
      <c r="E29" s="7" t="s">
        <v>3</v>
      </c>
      <c r="F29" s="7" t="s">
        <v>4</v>
      </c>
      <c r="G29" s="7" t="s">
        <v>5</v>
      </c>
      <c r="J29" s="7" t="s">
        <v>1</v>
      </c>
      <c r="K29" s="57">
        <f>2/9</f>
        <v>0.22222222222222221</v>
      </c>
      <c r="M29" s="7" t="s">
        <v>1</v>
      </c>
      <c r="N29" s="59">
        <f t="array" ref="N29:N33">MMULT(C30:G34,K29:K33)</f>
        <v>0.20321103607503607</v>
      </c>
    </row>
    <row r="30" spans="2:16" x14ac:dyDescent="0.25">
      <c r="B30" s="7" t="s">
        <v>1</v>
      </c>
      <c r="C30" s="11">
        <f t="array" ref="C30:G34">MMULT(K22:O26,C22:G26)</f>
        <v>0.42164800000000008</v>
      </c>
      <c r="D30" s="11">
        <v>0.18795800000000001</v>
      </c>
      <c r="E30" s="11">
        <v>0.158556</v>
      </c>
      <c r="F30" s="11">
        <v>0.11561800000000001</v>
      </c>
      <c r="G30" s="52">
        <v>0.11622000000000002</v>
      </c>
      <c r="H30" s="50">
        <f>SUM(C30:G30)</f>
        <v>1.0000000000000002</v>
      </c>
      <c r="J30" s="5" t="s">
        <v>2</v>
      </c>
      <c r="K30" s="19">
        <f>1/7</f>
        <v>0.14285714285714285</v>
      </c>
      <c r="M30" s="5" t="s">
        <v>2</v>
      </c>
      <c r="N30" s="11">
        <v>0.20279911890331892</v>
      </c>
    </row>
    <row r="31" spans="2:16" x14ac:dyDescent="0.25">
      <c r="B31" s="5" t="s">
        <v>2</v>
      </c>
      <c r="C31" s="11">
        <v>0.40669700000000009</v>
      </c>
      <c r="D31" s="11">
        <v>0.18994100000000003</v>
      </c>
      <c r="E31" s="11">
        <v>0.15794</v>
      </c>
      <c r="F31" s="11">
        <v>0.122088</v>
      </c>
      <c r="G31" s="52">
        <v>0.123334</v>
      </c>
      <c r="H31" s="50">
        <f t="shared" ref="H31:H34" si="3">SUM(C31:G31)</f>
        <v>1</v>
      </c>
      <c r="J31" s="5" t="s">
        <v>3</v>
      </c>
      <c r="K31" s="19">
        <f>3/14</f>
        <v>0.21428571428571427</v>
      </c>
      <c r="L31" s="49" t="s">
        <v>30</v>
      </c>
      <c r="M31" s="5" t="s">
        <v>3</v>
      </c>
      <c r="N31" s="11">
        <v>0.2019923038961039</v>
      </c>
    </row>
    <row r="32" spans="2:16" x14ac:dyDescent="0.25">
      <c r="B32" s="5" t="s">
        <v>3</v>
      </c>
      <c r="C32" s="11">
        <v>0.40105800000000003</v>
      </c>
      <c r="D32" s="11">
        <v>0.19050700000000001</v>
      </c>
      <c r="E32" s="11">
        <v>0.15916</v>
      </c>
      <c r="F32" s="11">
        <v>0.12170900000000001</v>
      </c>
      <c r="G32" s="52">
        <v>0.12756600000000001</v>
      </c>
      <c r="H32" s="50">
        <f t="shared" si="3"/>
        <v>1</v>
      </c>
      <c r="J32" s="5" t="s">
        <v>4</v>
      </c>
      <c r="K32" s="19">
        <f>4/11</f>
        <v>0.36363636363636365</v>
      </c>
      <c r="M32" s="5" t="s">
        <v>4</v>
      </c>
      <c r="N32" s="11">
        <v>0.20594863203463204</v>
      </c>
    </row>
    <row r="33" spans="2:15" x14ac:dyDescent="0.25">
      <c r="B33" s="5" t="s">
        <v>4</v>
      </c>
      <c r="C33" s="11">
        <v>0.39639300000000005</v>
      </c>
      <c r="D33" s="11">
        <v>0.20094400000000001</v>
      </c>
      <c r="E33" s="11">
        <v>0.15602400000000002</v>
      </c>
      <c r="F33" s="11">
        <v>0.13581900000000002</v>
      </c>
      <c r="G33" s="52">
        <v>0.11082000000000002</v>
      </c>
      <c r="H33" s="50">
        <f t="shared" si="3"/>
        <v>1</v>
      </c>
      <c r="J33" s="5" t="s">
        <v>5</v>
      </c>
      <c r="K33" s="19">
        <f>2/35</f>
        <v>5.7142857142857141E-2</v>
      </c>
      <c r="M33" s="5" t="s">
        <v>5</v>
      </c>
      <c r="N33" s="19">
        <v>0.19980465800865801</v>
      </c>
    </row>
    <row r="34" spans="2:15" x14ac:dyDescent="0.25">
      <c r="B34" s="5" t="s">
        <v>5</v>
      </c>
      <c r="C34" s="11">
        <v>0.3574500000000001</v>
      </c>
      <c r="D34" s="11">
        <v>0.19545000000000001</v>
      </c>
      <c r="E34" s="11">
        <v>0.15810000000000002</v>
      </c>
      <c r="F34" s="11">
        <v>0.13722000000000001</v>
      </c>
      <c r="G34" s="52">
        <v>0.15178000000000003</v>
      </c>
      <c r="H34" s="50">
        <f t="shared" si="3"/>
        <v>1.0000000000000002</v>
      </c>
    </row>
    <row r="36" spans="2:15" x14ac:dyDescent="0.25">
      <c r="K36" s="6"/>
    </row>
    <row r="38" spans="2:15" x14ac:dyDescent="0.25">
      <c r="B38" s="38" t="s">
        <v>26</v>
      </c>
    </row>
    <row r="39" spans="2:15" x14ac:dyDescent="0.25">
      <c r="C39" s="1" t="s">
        <v>14</v>
      </c>
      <c r="D39" s="2"/>
      <c r="E39" s="2"/>
      <c r="F39" s="2"/>
      <c r="G39" s="2"/>
      <c r="K39" s="1" t="s">
        <v>27</v>
      </c>
      <c r="L39" s="2"/>
      <c r="M39" s="2"/>
      <c r="N39" s="2"/>
      <c r="O39" s="2"/>
    </row>
    <row r="40" spans="2:15" x14ac:dyDescent="0.25">
      <c r="B40" s="3"/>
      <c r="C40" s="4" t="s">
        <v>1</v>
      </c>
      <c r="D40" s="5" t="s">
        <v>2</v>
      </c>
      <c r="E40" s="5" t="s">
        <v>3</v>
      </c>
      <c r="F40" s="5" t="s">
        <v>4</v>
      </c>
      <c r="G40" s="5" t="s">
        <v>5</v>
      </c>
      <c r="H40" s="6"/>
      <c r="J40" s="3"/>
      <c r="K40" s="4" t="s">
        <v>1</v>
      </c>
      <c r="L40" s="5" t="s">
        <v>2</v>
      </c>
      <c r="M40" s="5" t="s">
        <v>3</v>
      </c>
      <c r="N40" s="5" t="s">
        <v>4</v>
      </c>
      <c r="O40" s="5" t="s">
        <v>5</v>
      </c>
    </row>
    <row r="41" spans="2:15" x14ac:dyDescent="0.25">
      <c r="B41" s="7" t="s">
        <v>1</v>
      </c>
      <c r="C41" s="39">
        <v>0.55000000000000004</v>
      </c>
      <c r="D41" s="39">
        <v>0.17</v>
      </c>
      <c r="E41" s="39">
        <v>0.15</v>
      </c>
      <c r="F41" s="39">
        <v>7.0000000000000007E-2</v>
      </c>
      <c r="G41" s="39">
        <v>0.06</v>
      </c>
      <c r="H41" s="6">
        <f t="shared" ref="H41:H45" si="4">SUM(C41:G41)</f>
        <v>1.0000000000000002</v>
      </c>
      <c r="J41" s="7" t="s">
        <v>1</v>
      </c>
      <c r="K41" s="39">
        <f>C41</f>
        <v>0.55000000000000004</v>
      </c>
      <c r="L41" s="47">
        <f>C42</f>
        <v>0.53</v>
      </c>
      <c r="M41" s="40">
        <f>C43</f>
        <v>0.3</v>
      </c>
      <c r="N41" s="42">
        <f>C44</f>
        <v>0.12</v>
      </c>
      <c r="O41" s="44">
        <f>C45</f>
        <v>0.15</v>
      </c>
    </row>
    <row r="42" spans="2:15" x14ac:dyDescent="0.25">
      <c r="B42" s="5" t="s">
        <v>2</v>
      </c>
      <c r="C42" s="47">
        <v>0.53</v>
      </c>
      <c r="D42" s="47">
        <v>0.08</v>
      </c>
      <c r="E42" s="47">
        <v>0.11</v>
      </c>
      <c r="F42" s="47">
        <v>0.12</v>
      </c>
      <c r="G42" s="47">
        <v>0.16</v>
      </c>
      <c r="H42" s="6">
        <f t="shared" si="4"/>
        <v>1</v>
      </c>
      <c r="J42" s="5" t="s">
        <v>2</v>
      </c>
      <c r="K42" s="39">
        <f>D41</f>
        <v>0.17</v>
      </c>
      <c r="L42" s="47">
        <f>D42</f>
        <v>0.08</v>
      </c>
      <c r="M42" s="41">
        <f>D43</f>
        <v>0.25</v>
      </c>
      <c r="N42" s="43">
        <f>D44</f>
        <v>0.4</v>
      </c>
      <c r="O42" s="44">
        <f>D45</f>
        <v>0.15</v>
      </c>
    </row>
    <row r="43" spans="2:15" x14ac:dyDescent="0.25">
      <c r="B43" s="5" t="s">
        <v>3</v>
      </c>
      <c r="C43" s="40">
        <v>0.3</v>
      </c>
      <c r="D43" s="41">
        <v>0.25</v>
      </c>
      <c r="E43" s="41">
        <v>0.25</v>
      </c>
      <c r="F43" s="41">
        <v>0.08</v>
      </c>
      <c r="G43" s="41">
        <v>0.12</v>
      </c>
      <c r="H43" s="9">
        <f t="shared" si="4"/>
        <v>1</v>
      </c>
      <c r="J43" s="5" t="s">
        <v>3</v>
      </c>
      <c r="K43" s="46">
        <f>E41</f>
        <v>0.15</v>
      </c>
      <c r="L43" s="47">
        <f>E42</f>
        <v>0.11</v>
      </c>
      <c r="M43" s="41">
        <f>E43</f>
        <v>0.25</v>
      </c>
      <c r="N43" s="42">
        <f>E44</f>
        <v>0.15</v>
      </c>
      <c r="O43" s="44">
        <f>E45</f>
        <v>0.15</v>
      </c>
    </row>
    <row r="44" spans="2:15" x14ac:dyDescent="0.25">
      <c r="B44" s="5" t="s">
        <v>4</v>
      </c>
      <c r="C44" s="42">
        <v>0.12</v>
      </c>
      <c r="D44" s="43">
        <v>0.4</v>
      </c>
      <c r="E44" s="42">
        <v>0.15</v>
      </c>
      <c r="F44" s="42">
        <v>0.33</v>
      </c>
      <c r="G44" s="43">
        <v>0</v>
      </c>
      <c r="H44" s="6">
        <f t="shared" si="4"/>
        <v>1</v>
      </c>
      <c r="J44" s="5" t="s">
        <v>4</v>
      </c>
      <c r="K44" s="46">
        <f>F41</f>
        <v>7.0000000000000007E-2</v>
      </c>
      <c r="L44" s="48">
        <f>F42</f>
        <v>0.12</v>
      </c>
      <c r="M44" s="41">
        <f>F43</f>
        <v>0.08</v>
      </c>
      <c r="N44" s="42">
        <f>F44</f>
        <v>0.33</v>
      </c>
      <c r="O44" s="45">
        <f>F45</f>
        <v>0.15</v>
      </c>
    </row>
    <row r="45" spans="2:15" x14ac:dyDescent="0.25">
      <c r="B45" s="5" t="s">
        <v>5</v>
      </c>
      <c r="C45" s="44">
        <v>0.15</v>
      </c>
      <c r="D45" s="44">
        <v>0.15</v>
      </c>
      <c r="E45" s="44">
        <v>0.15</v>
      </c>
      <c r="F45" s="44">
        <v>0.15</v>
      </c>
      <c r="G45" s="44">
        <v>0.4</v>
      </c>
      <c r="H45" s="6">
        <f t="shared" si="4"/>
        <v>1</v>
      </c>
      <c r="J45" s="5" t="s">
        <v>5</v>
      </c>
      <c r="K45" s="46">
        <f>G41</f>
        <v>0.06</v>
      </c>
      <c r="L45" s="47">
        <f>G42</f>
        <v>0.16</v>
      </c>
      <c r="M45" s="41">
        <f>G43</f>
        <v>0.12</v>
      </c>
      <c r="N45" s="43">
        <f>G44</f>
        <v>0</v>
      </c>
      <c r="O45" s="44">
        <f>G45</f>
        <v>0.4</v>
      </c>
    </row>
    <row r="46" spans="2:15" x14ac:dyDescent="0.25">
      <c r="K46" s="49">
        <f>SUM(K41:K45)</f>
        <v>1.0000000000000002</v>
      </c>
      <c r="L46" s="49">
        <f t="shared" ref="L46:O46" si="5">SUM(L41:L45)</f>
        <v>1</v>
      </c>
      <c r="M46" s="49">
        <f t="shared" si="5"/>
        <v>1</v>
      </c>
      <c r="N46" s="49">
        <f t="shared" si="5"/>
        <v>1</v>
      </c>
      <c r="O46" s="49">
        <f t="shared" si="5"/>
        <v>1</v>
      </c>
    </row>
    <row r="52" spans="4:12" ht="17.25" x14ac:dyDescent="0.3">
      <c r="I52" s="60" t="s">
        <v>8</v>
      </c>
      <c r="J52" s="61"/>
      <c r="K52" s="61"/>
      <c r="L52" s="62"/>
    </row>
    <row r="53" spans="4:12" x14ac:dyDescent="0.25">
      <c r="D53" s="6"/>
      <c r="G53" s="6"/>
      <c r="I53" s="63" t="s">
        <v>9</v>
      </c>
      <c r="J53" s="64"/>
      <c r="K53" s="64"/>
      <c r="L53" s="65"/>
    </row>
    <row r="54" spans="4:12" x14ac:dyDescent="0.25">
      <c r="I54" s="66" t="s">
        <v>1</v>
      </c>
      <c r="J54" s="67">
        <f>N29</f>
        <v>0.20321103607503607</v>
      </c>
      <c r="K54" s="67" t="s">
        <v>11</v>
      </c>
      <c r="L54" s="68">
        <f>J54</f>
        <v>0.20321103607503607</v>
      </c>
    </row>
    <row r="55" spans="4:12" x14ac:dyDescent="0.25">
      <c r="I55" s="66" t="s">
        <v>3</v>
      </c>
      <c r="J55" s="67">
        <f>N31</f>
        <v>0.2019923038961039</v>
      </c>
      <c r="K55" s="67" t="s">
        <v>11</v>
      </c>
      <c r="L55" s="68">
        <f>J55</f>
        <v>0.2019923038961039</v>
      </c>
    </row>
    <row r="56" spans="4:12" x14ac:dyDescent="0.25">
      <c r="I56" s="66" t="s">
        <v>5</v>
      </c>
      <c r="J56" s="69">
        <f>N33</f>
        <v>0.19980465800865801</v>
      </c>
      <c r="K56" s="67" t="s">
        <v>11</v>
      </c>
      <c r="L56" s="68">
        <f>J56</f>
        <v>0.19980465800865801</v>
      </c>
    </row>
    <row r="58" spans="4:12" x14ac:dyDescent="0.25">
      <c r="D58" s="23"/>
      <c r="G58" s="23"/>
    </row>
    <row r="59" spans="4:12" x14ac:dyDescent="0.25">
      <c r="D59" s="6"/>
      <c r="E59" s="6"/>
      <c r="F59" s="6"/>
      <c r="G59" s="6"/>
    </row>
    <row r="84" spans="2:8" x14ac:dyDescent="0.25">
      <c r="C84" s="1" t="s">
        <v>15</v>
      </c>
      <c r="D84" s="2"/>
      <c r="E84" s="2"/>
      <c r="F84" s="2"/>
      <c r="G84" s="2"/>
    </row>
    <row r="85" spans="2:8" x14ac:dyDescent="0.25">
      <c r="B85" s="3"/>
      <c r="C85" s="4" t="s">
        <v>1</v>
      </c>
      <c r="D85" s="5" t="s">
        <v>2</v>
      </c>
      <c r="E85" s="5" t="s">
        <v>3</v>
      </c>
      <c r="F85" s="5" t="s">
        <v>4</v>
      </c>
      <c r="G85" s="5" t="s">
        <v>5</v>
      </c>
    </row>
    <row r="86" spans="2:8" x14ac:dyDescent="0.25">
      <c r="B86" s="7" t="s">
        <v>1</v>
      </c>
      <c r="C86" s="24">
        <v>1</v>
      </c>
      <c r="D86" s="24">
        <v>0</v>
      </c>
      <c r="E86" s="24">
        <v>0</v>
      </c>
      <c r="F86" s="24">
        <v>0</v>
      </c>
      <c r="G86" s="24">
        <v>0</v>
      </c>
    </row>
    <row r="87" spans="2:8" x14ac:dyDescent="0.25">
      <c r="B87" s="5" t="s">
        <v>2</v>
      </c>
      <c r="C87" s="24">
        <v>0</v>
      </c>
      <c r="D87" s="24">
        <v>1</v>
      </c>
      <c r="E87" s="24">
        <v>0</v>
      </c>
      <c r="F87" s="24">
        <v>0</v>
      </c>
      <c r="G87" s="24">
        <v>0</v>
      </c>
    </row>
    <row r="88" spans="2:8" x14ac:dyDescent="0.25">
      <c r="B88" s="5" t="s">
        <v>3</v>
      </c>
      <c r="C88" s="24">
        <v>0</v>
      </c>
      <c r="D88" s="24">
        <v>0</v>
      </c>
      <c r="E88" s="24">
        <v>1</v>
      </c>
      <c r="F88" s="24">
        <v>0</v>
      </c>
      <c r="G88" s="24">
        <v>0</v>
      </c>
    </row>
    <row r="89" spans="2:8" x14ac:dyDescent="0.25">
      <c r="B89" s="5" t="s">
        <v>4</v>
      </c>
      <c r="C89" s="24">
        <v>0</v>
      </c>
      <c r="D89" s="24">
        <v>0</v>
      </c>
      <c r="E89" s="24">
        <v>0</v>
      </c>
      <c r="F89" s="24">
        <v>1</v>
      </c>
      <c r="G89" s="24">
        <v>0</v>
      </c>
    </row>
    <row r="90" spans="2:8" x14ac:dyDescent="0.25">
      <c r="B90" s="5" t="s">
        <v>5</v>
      </c>
      <c r="C90" s="24">
        <v>0</v>
      </c>
      <c r="D90" s="24">
        <v>0</v>
      </c>
      <c r="E90" s="24">
        <v>0</v>
      </c>
      <c r="F90" s="24">
        <v>0</v>
      </c>
      <c r="G90" s="24">
        <v>1</v>
      </c>
    </row>
    <row r="94" spans="2:8" x14ac:dyDescent="0.25">
      <c r="C94" s="1" t="s">
        <v>16</v>
      </c>
      <c r="D94" s="2"/>
      <c r="E94" s="2"/>
      <c r="F94" s="2"/>
      <c r="G94" s="2"/>
    </row>
    <row r="95" spans="2:8" x14ac:dyDescent="0.25">
      <c r="B95" s="3"/>
      <c r="C95" s="4" t="s">
        <v>1</v>
      </c>
      <c r="D95" s="5" t="s">
        <v>2</v>
      </c>
      <c r="E95" s="5" t="s">
        <v>3</v>
      </c>
      <c r="F95" s="5" t="s">
        <v>4</v>
      </c>
      <c r="G95" s="5" t="s">
        <v>5</v>
      </c>
    </row>
    <row r="96" spans="2:8" x14ac:dyDescent="0.25">
      <c r="B96" s="7" t="s">
        <v>1</v>
      </c>
      <c r="C96" s="25">
        <f>C86-K41</f>
        <v>0.44999999999999996</v>
      </c>
      <c r="D96" s="25">
        <f>D86-L41</f>
        <v>-0.53</v>
      </c>
      <c r="E96" s="25">
        <f>E86-M41</f>
        <v>-0.3</v>
      </c>
      <c r="F96" s="25">
        <f>F86-N41</f>
        <v>-0.12</v>
      </c>
      <c r="G96" s="25">
        <f>G86-O41</f>
        <v>-0.15</v>
      </c>
      <c r="H96" s="12">
        <v>1</v>
      </c>
    </row>
    <row r="97" spans="2:10" x14ac:dyDescent="0.25">
      <c r="B97" s="5" t="s">
        <v>2</v>
      </c>
      <c r="C97" s="25">
        <f>C87-K42</f>
        <v>-0.17</v>
      </c>
      <c r="D97" s="25">
        <f>D87-L42</f>
        <v>0.92</v>
      </c>
      <c r="E97" s="25">
        <f>E87-M42</f>
        <v>-0.25</v>
      </c>
      <c r="F97" s="25">
        <f>F87-N42</f>
        <v>-0.4</v>
      </c>
      <c r="G97" s="25">
        <f>G87-O42</f>
        <v>-0.15</v>
      </c>
      <c r="H97" s="12">
        <v>1</v>
      </c>
    </row>
    <row r="98" spans="2:10" x14ac:dyDescent="0.25">
      <c r="B98" s="5" t="s">
        <v>3</v>
      </c>
      <c r="C98" s="25">
        <f>C88-K43</f>
        <v>-0.15</v>
      </c>
      <c r="D98" s="25">
        <f>D88-L43</f>
        <v>-0.11</v>
      </c>
      <c r="E98" s="25">
        <f>E88-M43</f>
        <v>0.75</v>
      </c>
      <c r="F98" s="25">
        <f>F88-N43</f>
        <v>-0.15</v>
      </c>
      <c r="G98" s="25">
        <f>G88-O43</f>
        <v>-0.15</v>
      </c>
      <c r="H98" s="12">
        <v>1</v>
      </c>
    </row>
    <row r="99" spans="2:10" x14ac:dyDescent="0.25">
      <c r="B99" s="5" t="s">
        <v>4</v>
      </c>
      <c r="C99" s="25">
        <f>C89-K44</f>
        <v>-7.0000000000000007E-2</v>
      </c>
      <c r="D99" s="25">
        <f>D89-L44</f>
        <v>-0.12</v>
      </c>
      <c r="E99" s="25">
        <f>E89-M44</f>
        <v>-0.08</v>
      </c>
      <c r="F99" s="25">
        <f>F89-N44</f>
        <v>0.66999999999999993</v>
      </c>
      <c r="G99" s="25">
        <f>G89-O44</f>
        <v>-0.15</v>
      </c>
      <c r="H99" s="12">
        <v>1</v>
      </c>
    </row>
    <row r="100" spans="2:10" x14ac:dyDescent="0.25">
      <c r="B100" s="5" t="s">
        <v>5</v>
      </c>
      <c r="C100" s="25">
        <f>C90-K45</f>
        <v>-0.06</v>
      </c>
      <c r="D100" s="25">
        <f>D90-L45</f>
        <v>-0.16</v>
      </c>
      <c r="E100" s="25">
        <f>E90-M45</f>
        <v>-0.12</v>
      </c>
      <c r="F100" s="25">
        <f>F90-N45</f>
        <v>0</v>
      </c>
      <c r="G100" s="25">
        <f>G90-O45</f>
        <v>0.6</v>
      </c>
      <c r="H100" s="12">
        <v>1</v>
      </c>
    </row>
    <row r="101" spans="2:10" x14ac:dyDescent="0.25">
      <c r="C101" s="12">
        <v>1</v>
      </c>
      <c r="D101" s="12">
        <v>1</v>
      </c>
      <c r="E101" s="12">
        <v>1</v>
      </c>
      <c r="F101" s="12">
        <v>1</v>
      </c>
      <c r="G101" s="12">
        <v>1</v>
      </c>
      <c r="H101" s="12">
        <v>0</v>
      </c>
    </row>
    <row r="105" spans="2:10" x14ac:dyDescent="0.25">
      <c r="C105" s="1" t="s">
        <v>17</v>
      </c>
      <c r="D105" s="2"/>
      <c r="E105" s="2"/>
      <c r="F105" s="2"/>
      <c r="G105" s="2"/>
    </row>
    <row r="106" spans="2:10" x14ac:dyDescent="0.25">
      <c r="B106" s="3"/>
      <c r="C106" s="4" t="s">
        <v>1</v>
      </c>
      <c r="D106" s="5" t="s">
        <v>2</v>
      </c>
      <c r="E106" s="5" t="s">
        <v>3</v>
      </c>
      <c r="F106" s="5" t="s">
        <v>4</v>
      </c>
      <c r="G106" s="5" t="s">
        <v>5</v>
      </c>
      <c r="J106" s="11" t="s">
        <v>18</v>
      </c>
    </row>
    <row r="107" spans="2:10" x14ac:dyDescent="0.25">
      <c r="B107" s="7" t="s">
        <v>1</v>
      </c>
      <c r="C107" s="25">
        <f t="array" ref="C107:H112">MINVERSE(C96:H101)</f>
        <v>1.1312236722033919</v>
      </c>
      <c r="D107" s="25">
        <v>3.8230425818747443E-2</v>
      </c>
      <c r="E107" s="25">
        <v>-0.20569961277799995</v>
      </c>
      <c r="F107" s="25">
        <v>-0.42438858792809786</v>
      </c>
      <c r="G107" s="25">
        <v>-0.53936589731604234</v>
      </c>
      <c r="H107" s="12">
        <v>0.40452442298703145</v>
      </c>
      <c r="J107" s="11">
        <v>0</v>
      </c>
    </row>
    <row r="108" spans="2:10" x14ac:dyDescent="0.25">
      <c r="B108" s="5" t="s">
        <v>2</v>
      </c>
      <c r="C108" s="25">
        <v>-0.26178696191183742</v>
      </c>
      <c r="D108" s="25">
        <v>0.66631138489886887</v>
      </c>
      <c r="E108" s="25">
        <v>-0.17563866037697504</v>
      </c>
      <c r="F108" s="25">
        <v>2.612675881411166E-2</v>
      </c>
      <c r="G108" s="25">
        <v>-0.25501252142416803</v>
      </c>
      <c r="H108" s="12">
        <v>0.19125939106812603</v>
      </c>
      <c r="J108" s="11">
        <v>0</v>
      </c>
    </row>
    <row r="109" spans="2:10" x14ac:dyDescent="0.25">
      <c r="B109" s="5" t="s">
        <v>3</v>
      </c>
      <c r="C109" s="25">
        <v>-0.21058724613725169</v>
      </c>
      <c r="D109" s="25">
        <v>-0.25183606155106086</v>
      </c>
      <c r="E109" s="25">
        <v>0.89669505157231022</v>
      </c>
      <c r="F109" s="25">
        <v>-0.2233834115028494</v>
      </c>
      <c r="G109" s="25">
        <v>-0.2108883323811481</v>
      </c>
      <c r="H109" s="12">
        <v>0.15816624928586109</v>
      </c>
      <c r="J109" s="11">
        <v>0</v>
      </c>
    </row>
    <row r="110" spans="2:10" x14ac:dyDescent="0.25">
      <c r="B110" s="5" t="s">
        <v>4</v>
      </c>
      <c r="C110" s="25">
        <v>-0.32671119230403484</v>
      </c>
      <c r="D110" s="25">
        <v>-0.2505112820779164</v>
      </c>
      <c r="E110" s="25">
        <v>-0.2939555180201372</v>
      </c>
      <c r="F110" s="25">
        <v>1.0351269793597855</v>
      </c>
      <c r="G110" s="25">
        <v>-0.16394898695769644</v>
      </c>
      <c r="H110" s="12">
        <v>0.12296174021827247</v>
      </c>
      <c r="J110" s="11">
        <v>0</v>
      </c>
    </row>
    <row r="111" spans="2:10" x14ac:dyDescent="0.25">
      <c r="B111" s="5" t="s">
        <v>5</v>
      </c>
      <c r="C111" s="25">
        <v>-0.33213827185026784</v>
      </c>
      <c r="D111" s="25">
        <v>-0.20219446708863906</v>
      </c>
      <c r="E111" s="25">
        <v>-0.22140126039719801</v>
      </c>
      <c r="F111" s="25">
        <v>-0.41348173874294991</v>
      </c>
      <c r="G111" s="25">
        <v>1.1692157380790549</v>
      </c>
      <c r="H111" s="12">
        <v>0.12308819644070897</v>
      </c>
      <c r="J111" s="11">
        <v>0</v>
      </c>
    </row>
    <row r="112" spans="2:10" x14ac:dyDescent="0.25">
      <c r="C112" s="12">
        <v>0.2</v>
      </c>
      <c r="D112" s="12">
        <v>0.2</v>
      </c>
      <c r="E112" s="12">
        <v>0.2</v>
      </c>
      <c r="F112" s="12">
        <v>0.2</v>
      </c>
      <c r="G112" s="12">
        <v>0.2</v>
      </c>
      <c r="H112" s="12">
        <v>1.1102230246251566E-17</v>
      </c>
      <c r="J112" s="11">
        <v>1</v>
      </c>
    </row>
    <row r="115" spans="2:8" ht="17.25" x14ac:dyDescent="0.3">
      <c r="E115" s="13" t="s">
        <v>8</v>
      </c>
      <c r="F115" s="14"/>
      <c r="G115" s="14"/>
      <c r="H115" s="15"/>
    </row>
    <row r="116" spans="2:8" x14ac:dyDescent="0.25">
      <c r="B116" s="1" t="s">
        <v>19</v>
      </c>
      <c r="C116" s="2"/>
      <c r="D116" s="6"/>
      <c r="E116" s="16" t="s">
        <v>20</v>
      </c>
      <c r="F116" s="17"/>
      <c r="G116" s="17"/>
      <c r="H116" s="18"/>
    </row>
    <row r="117" spans="2:8" x14ac:dyDescent="0.25">
      <c r="B117" s="5" t="s">
        <v>1</v>
      </c>
      <c r="C117" s="25">
        <f t="array" ref="C117:C122">MMULT(C107:H112,J107:J112)</f>
        <v>0.40452442298703145</v>
      </c>
      <c r="D117" s="6"/>
      <c r="E117" s="20" t="s">
        <v>10</v>
      </c>
      <c r="F117" s="26">
        <f t="shared" ref="F117:F121" si="6">C117</f>
        <v>0.40452442298703145</v>
      </c>
      <c r="G117" s="21" t="s">
        <v>11</v>
      </c>
      <c r="H117" s="22">
        <f t="shared" ref="H117:H121" si="7">F117</f>
        <v>0.40452442298703145</v>
      </c>
    </row>
    <row r="118" spans="2:8" x14ac:dyDescent="0.25">
      <c r="B118" s="5" t="s">
        <v>2</v>
      </c>
      <c r="C118" s="25">
        <v>0.19125939106812603</v>
      </c>
      <c r="D118" s="27"/>
      <c r="E118" s="20" t="s">
        <v>21</v>
      </c>
      <c r="F118" s="26">
        <f t="shared" si="6"/>
        <v>0.19125939106812603</v>
      </c>
      <c r="G118" s="21" t="s">
        <v>11</v>
      </c>
      <c r="H118" s="22">
        <f t="shared" si="7"/>
        <v>0.19125939106812603</v>
      </c>
    </row>
    <row r="119" spans="2:8" x14ac:dyDescent="0.25">
      <c r="B119" s="5" t="s">
        <v>3</v>
      </c>
      <c r="C119" s="25">
        <v>0.15816624928586109</v>
      </c>
      <c r="D119" s="27"/>
      <c r="E119" s="20" t="s">
        <v>12</v>
      </c>
      <c r="F119" s="26">
        <f t="shared" si="6"/>
        <v>0.15816624928586109</v>
      </c>
      <c r="G119" s="21" t="s">
        <v>11</v>
      </c>
      <c r="H119" s="22">
        <f t="shared" si="7"/>
        <v>0.15816624928586109</v>
      </c>
    </row>
    <row r="120" spans="2:8" x14ac:dyDescent="0.25">
      <c r="B120" s="5" t="s">
        <v>4</v>
      </c>
      <c r="C120" s="25">
        <v>0.12296174021827247</v>
      </c>
      <c r="D120" s="27"/>
      <c r="E120" s="20" t="s">
        <v>22</v>
      </c>
      <c r="F120" s="26">
        <f t="shared" si="6"/>
        <v>0.12296174021827247</v>
      </c>
      <c r="G120" s="21" t="s">
        <v>11</v>
      </c>
      <c r="H120" s="22">
        <f t="shared" si="7"/>
        <v>0.12296174021827247</v>
      </c>
    </row>
    <row r="121" spans="2:8" x14ac:dyDescent="0.25">
      <c r="B121" s="5" t="s">
        <v>5</v>
      </c>
      <c r="C121" s="25">
        <v>0.12308819644070897</v>
      </c>
      <c r="D121" s="27"/>
      <c r="E121" s="28" t="s">
        <v>13</v>
      </c>
      <c r="F121" s="29">
        <f t="shared" si="6"/>
        <v>0.12308819644070897</v>
      </c>
      <c r="G121" s="30" t="s">
        <v>11</v>
      </c>
      <c r="H121" s="31">
        <f t="shared" si="7"/>
        <v>0.12308819644070897</v>
      </c>
    </row>
    <row r="122" spans="2:8" x14ac:dyDescent="0.25">
      <c r="C122" s="12">
        <v>1.1102230246251566E-17</v>
      </c>
      <c r="D122" s="27"/>
      <c r="E122" s="27"/>
      <c r="F122" s="27"/>
      <c r="G122" s="27"/>
    </row>
  </sheetData>
  <mergeCells count="16">
    <mergeCell ref="B116:C116"/>
    <mergeCell ref="E116:H116"/>
    <mergeCell ref="C18:H18"/>
    <mergeCell ref="B20:H20"/>
    <mergeCell ref="J20:P20"/>
    <mergeCell ref="B28:H28"/>
    <mergeCell ref="C39:G39"/>
    <mergeCell ref="K39:O39"/>
    <mergeCell ref="C84:G84"/>
    <mergeCell ref="C94:G94"/>
    <mergeCell ref="C105:G105"/>
    <mergeCell ref="E115:H115"/>
    <mergeCell ref="I52:L52"/>
    <mergeCell ref="J28:K28"/>
    <mergeCell ref="M28:N28"/>
    <mergeCell ref="I53:L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Monjes</dc:creator>
  <cp:lastModifiedBy>Javier Monjes</cp:lastModifiedBy>
  <dcterms:created xsi:type="dcterms:W3CDTF">2024-12-18T13:18:41Z</dcterms:created>
  <dcterms:modified xsi:type="dcterms:W3CDTF">2024-12-18T13:46:32Z</dcterms:modified>
</cp:coreProperties>
</file>